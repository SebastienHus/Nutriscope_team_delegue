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ypotheses" sheetId="1" state="visible" r:id="rId3"/>
    <sheet name="MAU_mensuel" sheetId="2" state="visible" r:id="rId4"/>
    <sheet name="Couts" sheetId="3" state="visible" r:id="rId5"/>
    <sheet name="Revenus" sheetId="4" state="visible" r:id="rId6"/>
    <sheet name="ROI" sheetId="5" state="visible" r:id="rId7"/>
    <sheet name="KPI" sheetId="6" state="visible" r:id="rId8"/>
    <sheet name="Hypotheses_fragiles" sheetId="7" state="visible" r:id="rId9"/>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16" authorId="0">
      <text>
        <r>
          <rPr>
            <sz val="10"/>
            <rFont val="Arial"/>
            <family val="2"/>
          </rPr>
          <t xml:space="preserve">Hypothèse reprise de synthese_strategique_nutriscope.md (freemium B2C).</t>
        </r>
      </text>
    </comment>
    <comment ref="B18" authorId="0">
      <text>
        <r>
          <rPr>
            <sz val="10"/>
            <rFont val="Arial"/>
            <family val="2"/>
          </rPr>
          <t xml:space="preserve">Ordre de grandeur repris du support Module 2.4 (contrat distributeur API), à confirmer avec un prospect réel.</t>
        </r>
      </text>
    </comment>
    <comment ref="B27" authorId="0">
      <text>
        <r>
          <rPr>
            <sz val="10"/>
            <rFont val="Arial"/>
            <family val="2"/>
          </rPr>
          <t xml:space="preserve">Ordre de grandeur repris du Module 2.4 (55 000 €/an) ajusté au marché data/IA 2026.</t>
        </r>
      </text>
    </comment>
    <comment ref="B28" authorId="0">
      <text>
        <r>
          <rPr>
            <sz val="10"/>
            <rFont val="Arial"/>
            <family val="2"/>
          </rPr>
          <t xml:space="preserve">Aligné sur le macro-planning note_cadrage.md : jalons J1 à J7 (mois 1 à 7).</t>
        </r>
      </text>
    </comment>
    <comment ref="B36" authorId="0">
      <text>
        <r>
          <rPr>
            <sz val="10"/>
            <rFont val="Arial"/>
            <family val="2"/>
          </rPr>
          <t xml:space="preserve">Hypothèse dérivée : ≈2 800 €/mois pour un MAU moyen d'Année 1 de ~300 k, cohérent avec l'exemple du Module 2.4 remis à l'échelle.</t>
        </r>
      </text>
    </comment>
    <comment ref="B41" authorId="0">
      <text>
        <r>
          <rPr>
            <sz val="10"/>
            <rFont val="Arial"/>
            <family val="2"/>
          </rPr>
          <t xml:space="preserve">Hypothèse reprise du Module 2.4 (2 €/M tokens).</t>
        </r>
      </text>
    </comment>
    <comment ref="B46" authorId="0">
      <text>
        <r>
          <rPr>
            <sz val="10"/>
            <rFont val="Arial"/>
            <family val="2"/>
          </rPr>
          <t xml:space="preserve">Hypothèse FRAGILE : c'est le budget qui doit soutenir la trajectoire MAU (654k à M12). Voir onglet Hypotheses_fragiles.</t>
        </r>
      </text>
    </comment>
    <comment ref="B61" authorId="0">
      <text>
        <r>
          <rPr>
            <sz val="10"/>
            <rFont val="Arial"/>
            <family val="2"/>
          </rPr>
          <t xml:space="preserve">Hypothèse : Mois 1 = lancement public (jalon J4 du macro-planning, ~4 mois après un démarrage de projet posé en septembre 2026), fixé ici par convention à novembre.</t>
        </r>
      </text>
    </comment>
    <comment ref="B79" authorId="0">
      <text>
        <r>
          <rPr>
            <sz val="10"/>
            <rFont val="Arial"/>
            <family val="2"/>
          </rPr>
          <t xml:space="preserve">Fixée en direction le 15/09 : plancher accepté. Condition technique nécessaire au KPI produit « taux de substitution acceptée » (onglet KPI) — une précision insuffisante ne peut pas donner un bon taux d'acceptation.</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J1" authorId="0">
      <text>
        <r>
          <rPr>
            <sz val="10"/>
            <rFont val="Arial"/>
            <family val="2"/>
          </rPr>
          <t xml:space="preserve">Ne montre pas 'ce qui influence' le mois : c'est un multiplicateur technique (proche de 1) qui force la somme des increments du segment (colonne I) a retomber exactement sur le jalon suivant, apres application des indices saisonniers. Pour voir ce qui explique la hausse ou la baisse, regardez plutot la colonne L.</t>
        </r>
      </text>
    </comment>
  </commentList>
</comments>
</file>

<file path=xl/sharedStrings.xml><?xml version="1.0" encoding="utf-8"?>
<sst xmlns="http://schemas.openxmlformats.org/spreadsheetml/2006/main" count="235" uniqueCount="211">
  <si>
    <t xml:space="preserve">NutriScope — TP7 : KPI, coûts &amp; ROI — Hypothèses</t>
  </si>
  <si>
    <t xml:space="preserve">Toutes les hypothèses modifiables sont en bleu. Les cellules noires sont des formules qui recalculent automatiquement.</t>
  </si>
  <si>
    <t xml:space="preserve">A. Trajectoire MAU — jalons issus de trajectoire_36_mois_nutriscope.csv (TP1)</t>
  </si>
  <si>
    <t xml:space="preserve">Mois</t>
  </si>
  <si>
    <t xml:space="preserve">Part de marché (%)</t>
  </si>
  <si>
    <t xml:space="preserve">MAU</t>
  </si>
  <si>
    <t xml:space="preserve">Source : projet NutriScope, fichier trajectoire_36_mois_nutriscope.csv (déjà produit par l'équipe, TP1)</t>
  </si>
  <si>
    <t xml:space="preserve">B. Modèle de revenus — repris de benchmark.md (TP6) / synthese_strategique_nutriscope.md</t>
  </si>
  <si>
    <t xml:space="preserve">Prix abonnement Premium (€ / mois)</t>
  </si>
  <si>
    <t xml:space="preserve">ARPU Premium annuel (€ / abonné / an)</t>
  </si>
  <si>
    <t xml:space="preserve">Valeur d'un contrat B2B API/data (€ / an)</t>
  </si>
  <si>
    <t xml:space="preserve">Hypothèse</t>
  </si>
  <si>
    <t xml:space="preserve">Pessimiste</t>
  </si>
  <si>
    <t xml:space="preserve">Normal (central)</t>
  </si>
  <si>
    <t xml:space="preserve">Optimiste</t>
  </si>
  <si>
    <t xml:space="preserve">Taux de conversion Premium (% des MAU abonnés)</t>
  </si>
  <si>
    <t xml:space="preserve">Nombre de contrats B2B actifs sur l'année</t>
  </si>
  <si>
    <t xml:space="preserve">Note : taux nettement en retrait des moyennes usuelles d'applications freemium grand public — hypothèse prudente tant qu'aucun test réel de vente n'a été mené (voir §8, hypothèses fragiles).</t>
  </si>
  <si>
    <t xml:space="preserve">C. Coûts Build (one-off, Année 1) — équipe &amp; données</t>
  </si>
  <si>
    <t xml:space="preserve">Nombre d'ETP mobilisés (dev + data, moyenne pondérée)</t>
  </si>
  <si>
    <t xml:space="preserve">Coût chargé moyen par ETP (€ / an)</t>
  </si>
  <si>
    <t xml:space="preserve">Durée de mobilisation de l'équipe build (mois, sur 12)</t>
  </si>
  <si>
    <t xml:space="preserve">Build - Développement (équipe technique)</t>
  </si>
  <si>
    <t xml:space="preserve">Jours-homme nettoyage / qualification / annotation data</t>
  </si>
  <si>
    <t xml:space="preserve">Coût journalier interne (€ / jour)</t>
  </si>
  <si>
    <t xml:space="preserve">Build - Données (nettoyage, jeux de test, annotation)</t>
  </si>
  <si>
    <t xml:space="preserve">TOTAL BUILD (Année 1)</t>
  </si>
  <si>
    <t xml:space="preserve">Hypothèse de dimensionnement (3 profils, cf. planning note_cadrage.md §5) : 1) données &amp; modèle Nutri-Score (pipeline, base SQL, modèle prédictif, mois 1-3), 2) IA produit (moteur de substitution, assistant RAG, mois 4-5), 3) intégration &amp; déploiement (API FastAPI, Docker, mini-application, mois 6-7). Coût chargé 58 000 €/an : hypothèse de marché (moyenne junior/confirmé, profil data/dev France), pas un chiffre issu d'un document du projet. 30 jours-homme de données : ~10 j nettoyage/qualification, ~10 j constitution des jeux de test, ~10 j annotation manuelle pour évaluer le modèle Nutri-Score et le moteur de substitution. Coût journalier 500 €/jour : hypothèse de TJM (taux journalier moyen) dans la fourchette basse-médiane du marché français pour un profil data/IA freelance ou stage renforcé (ordre de grandeur 400-550 €/jour).</t>
  </si>
  <si>
    <t xml:space="preserve">D. Coûts Run (récurrents, proportionnels au MAU du mois) — cf. Module 2.4, iceberg du TCO</t>
  </si>
  <si>
    <t xml:space="preserve">Hébergement (API + base + front), € / MAU actif / an</t>
  </si>
  <si>
    <t xml:space="preserve">Stockage images / cache substitutions, € / MAU actif / an</t>
  </si>
  <si>
    <t xml:space="preserve">Part des MAU utilisant l'assistant conversationnel / mois</t>
  </si>
  <si>
    <t xml:space="preserve">Conversations par utilisateur-assistant / mois</t>
  </si>
  <si>
    <t xml:space="preserve">Tokens par conversation (entrée+sortie, contexte produit inclus)</t>
  </si>
  <si>
    <t xml:space="preserve">Prix LLM (€ / million de tokens, hypothèse mixte)</t>
  </si>
  <si>
    <t xml:space="preserve">ETP supervision / réentraînement des modèles</t>
  </si>
  <si>
    <t xml:space="preserve">Run - Supervision (annuel, ETP × coût chargé)</t>
  </si>
  <si>
    <t xml:space="preserve">E. Coûts Change (annuels) — acquisition &amp; accompagnement des utilisateurs</t>
  </si>
  <si>
    <t xml:space="preserve">Acquisition utilisateurs (communication, référencement, contenu), € / an</t>
  </si>
  <si>
    <t xml:space="preserve">Accompagnement utilisateur &amp; contenu pédagogique, € / an</t>
  </si>
  <si>
    <t xml:space="preserve">F. Coûts Conformité (annuels) — RGPD, AI Act, audit assistant</t>
  </si>
  <si>
    <t xml:space="preserve">Jours-homme RGPD / mentions / audit de l'assistant IA</t>
  </si>
  <si>
    <t xml:space="preserve">Conformité (annuel)</t>
  </si>
  <si>
    <t xml:space="preserve">12 jours-homme : ~4 j registre RGPD (documentation des traitements), ~4 j mentions légales et information utilisateur, ~4 j audit du fonctionnement de l'assistant IA (traçabilité, biais, positionnement AI Act) — même hypothèse de TJM que ci-dessus (500 €/jour).</t>
  </si>
  <si>
    <t xml:space="preserve">G. Synthèse coûts Année 1 (référence — détail mensuel dans l'onglet Couts)</t>
  </si>
  <si>
    <t xml:space="preserve">TOTAL Coûts Année 1 (Build + Run + Change + Conformité, mois 1 à 12)</t>
  </si>
  <si>
    <t xml:space="preserve">H. Saisonnalité de la trajectoire MAU (hypothèse) — cf. onglet MAU_mensuel</t>
  </si>
  <si>
    <t xml:space="preserve">La trajectoire MAU du TP1 donne 7 jalons (tous les 6 mois) reliés jusqu'ici par une droite. On y superpose ici des « pics de progression » saisonniers plausibles pour un usage de courses alimentaires, sans changer les jalons eux-mêmes : la vitesse de croissance (nombre de MAU gagnés dans le mois) est modulée par un indice mensuel, puis recalée pour retomber exactement sur chaque jalon.</t>
  </si>
  <si>
    <t xml:space="preserve">Mois calendaire du lancement public (Mois 1 de la trajectoire) — n° du mois (1=janvier)</t>
  </si>
  <si>
    <t xml:space="preserve">Année calendaire du lancement public</t>
  </si>
  <si>
    <t xml:space="preserve">Mois calendaire</t>
  </si>
  <si>
    <t xml:space="preserve">N°</t>
  </si>
  <si>
    <t xml:space="preserve">Indice saisonnier</t>
  </si>
  <si>
    <t xml:space="preserve">Justification (résumée — détail dans la note d'hypothèses)</t>
  </si>
  <si>
    <t xml:space="preserve">Janvier</t>
  </si>
  <si>
    <t xml:space="preserve">Hausse liée aux régimes et à la remise en forme après les fêtes</t>
  </si>
  <si>
    <t xml:space="preserve">Février</t>
  </si>
  <si>
    <t xml:space="preserve">Consommation en retrait, creux hors période de fêtes</t>
  </si>
  <si>
    <t xml:space="preserve">Mars</t>
  </si>
  <si>
    <t xml:space="preserve">Consommation en retrait, avant la reprise liée à Pâques</t>
  </si>
  <si>
    <t xml:space="preserve">Avril</t>
  </si>
  <si>
    <t xml:space="preserve">Effet Pâques (chocolats, produits festifs)</t>
  </si>
  <si>
    <t xml:space="preserve">Mai</t>
  </si>
  <si>
    <t xml:space="preserve">Consommation légèrement supérieure à la moyenne annuelle</t>
  </si>
  <si>
    <t xml:space="preserve">Juin</t>
  </si>
  <si>
    <t xml:space="preserve">Mois de référence (indice 100)</t>
  </si>
  <si>
    <t xml:space="preserve">Juillet</t>
  </si>
  <si>
    <t xml:space="preserve">Hausse des boissons, glaces et produits d'extérieur (grillades, pique-nique)</t>
  </si>
  <si>
    <t xml:space="preserve">Août</t>
  </si>
  <si>
    <t xml:space="preserve">Cœur des vacances d'été : boissons, glaces, produits d'extérieur</t>
  </si>
  <si>
    <t xml:space="preserve">Septembre</t>
  </si>
  <si>
    <t xml:space="preserve">Rentrée : consommation en retrait par rapport à la moyenne annuelle</t>
  </si>
  <si>
    <t xml:space="preserve">Octobre</t>
  </si>
  <si>
    <t xml:space="preserve">Novembre</t>
  </si>
  <si>
    <t xml:space="preserve">Décembre</t>
  </si>
  <si>
    <t xml:space="preserve">Forte hausse des achats alimentaires liée aux fêtes de fin d'année</t>
  </si>
  <si>
    <t xml:space="preserve">Indices dérivés d'un indice de consommation alimentaire saisonnière (base 100, voir encart de méthode dans la note d'hypothèses).</t>
  </si>
  <si>
    <t xml:space="preserve">I. Qualité du moteur de substitution (hypothèse validée en direction le 15/09)</t>
  </si>
  <si>
    <t xml:space="preserve">Précision minimale du moteur de substitution (précision@3) — seuil plancher</t>
  </si>
  <si>
    <t xml:space="preserve">Précision cible du moteur de substitution (précision@3) — objectif</t>
  </si>
  <si>
    <t xml:space="preserve">J. Coûts complémentaires — briques entrées au périmètre lors de l'arbitrage du jalon J2</t>
  </si>
  <si>
    <t xml:space="preserve">Jours-homme classifieur d'images (préparation du jeu, entraînement, évaluation)</t>
  </si>
  <si>
    <t xml:space="preserve">Jours-homme segmentation du catalogue (regroupement, interprétation, nommage)</t>
  </si>
  <si>
    <t xml:space="preserve">Jours-homme tableau de bord qualité du catalogue</t>
  </si>
  <si>
    <t xml:space="preserve">Jours-homme mise en place de la supervision et du tableau de bord d'exploitation</t>
  </si>
  <si>
    <t xml:space="preserve">Calcul d'entraînement du classifieur d'images (location de matériel, forfait)</t>
  </si>
  <si>
    <t xml:space="preserve">Build - Briques complémentaires (one-off, Année 1)</t>
  </si>
  <si>
    <t xml:space="preserve">Journalisation, surveillance et alerte, € / MAU actif / an</t>
  </si>
  <si>
    <t xml:space="preserve">Ces postes couvrent quatre briques absentes du chiffrage initial : le classifieur de catégorie de produit à partir d'une photo, la segmentation du catalogue, le tableau de bord de qualité du catalogue et la mise en place de la supervision. Le jeu d'images d'entraînement étant fourni, aucun coût d'acquisition de données n'est retenu ; seul le calcul d'entraînement l'est, en forfait. Les jours-homme sont valorisés au même tarif journalier que les autres postes de construction (cellule B31) et étalés sur la même durée de mobilisation de l'équipe (cellule B28). Le poste de journalisation est proportionnel au nombre d'utilisateurs actifs, comme l'hébergement et le stockage : le volume de journaux à collecter et conserver croît avec l'usage.</t>
  </si>
  <si>
    <t xml:space="preserve">Indice de segment</t>
  </si>
  <si>
    <t xml:space="preserve">Année</t>
  </si>
  <si>
    <t xml:space="preserve">N° mois calendaire</t>
  </si>
  <si>
    <t xml:space="preserve">Type</t>
  </si>
  <si>
    <t xml:space="preserve">Incrément linéaire du segment</t>
  </si>
  <si>
    <t xml:space="preserve">Indice saisonnier appliqué</t>
  </si>
  <si>
    <t xml:space="preserve">Incrément brut ajusté</t>
  </si>
  <si>
    <t xml:space="preserve">Facteur de recalage (segment)</t>
  </si>
  <si>
    <t xml:space="preserve">MAU (trajectoire retenue)</t>
  </si>
  <si>
    <t xml:space="preserve">Ce qui influence la hausse/la baisse ce mois-ci</t>
  </si>
  <si>
    <t xml:space="preserve">Build - Équipe &amp; données</t>
  </si>
  <si>
    <t xml:space="preserve">Build - Briques complémentaires</t>
  </si>
  <si>
    <t xml:space="preserve">Run - Hébergement</t>
  </si>
  <si>
    <t xml:space="preserve">Run - LLM (assistant)</t>
  </si>
  <si>
    <t xml:space="preserve">Run - Stockage</t>
  </si>
  <si>
    <t xml:space="preserve">Run - Supervision</t>
  </si>
  <si>
    <t xml:space="preserve">Run - Journalisation &amp; surveillance</t>
  </si>
  <si>
    <t xml:space="preserve">Change - Acquisition</t>
  </si>
  <si>
    <t xml:space="preserve">Change - Accompagnement</t>
  </si>
  <si>
    <t xml:space="preserve">Conformité</t>
  </si>
  <si>
    <t xml:space="preserve">Total mensuel</t>
  </si>
  <si>
    <t xml:space="preserve">Cumul</t>
  </si>
  <si>
    <t xml:space="preserve">Premium - Pess.</t>
  </si>
  <si>
    <t xml:space="preserve">B2B - Pess.</t>
  </si>
  <si>
    <t xml:space="preserve">Total - Pess.</t>
  </si>
  <si>
    <t xml:space="preserve">Cumul - Pess.</t>
  </si>
  <si>
    <t xml:space="preserve">Premium - Normal</t>
  </si>
  <si>
    <t xml:space="preserve">B2B - Normal</t>
  </si>
  <si>
    <t xml:space="preserve">Total - Normal</t>
  </si>
  <si>
    <t xml:space="preserve">Cumul - Normal</t>
  </si>
  <si>
    <t xml:space="preserve">Premium - Opti.</t>
  </si>
  <si>
    <t xml:space="preserve">B2B - Opti.</t>
  </si>
  <si>
    <t xml:space="preserve">Total - Opti.</t>
  </si>
  <si>
    <t xml:space="preserve">Cumul - Opti.</t>
  </si>
  <si>
    <t xml:space="preserve">NutriScope — TP7 : ROI à trois scénarios</t>
  </si>
  <si>
    <t xml:space="preserve">Résultats consolidés</t>
  </si>
  <si>
    <t xml:space="preserve">Scénario</t>
  </si>
  <si>
    <t xml:space="preserve">Revenus M12</t>
  </si>
  <si>
    <t xml:space="preserve">Coûts M12</t>
  </si>
  <si>
    <t xml:space="preserve">ROI M12</t>
  </si>
  <si>
    <t xml:space="preserve">Revenus M24</t>
  </si>
  <si>
    <t xml:space="preserve">Coûts M24</t>
  </si>
  <si>
    <t xml:space="preserve">ROI M24</t>
  </si>
  <si>
    <t xml:space="preserve">Revenus M36</t>
  </si>
  <si>
    <t xml:space="preserve">Coûts M36</t>
  </si>
  <si>
    <t xml:space="preserve">ROI M36</t>
  </si>
  <si>
    <t xml:space="preserve">Mois de rentabilité (payback)</t>
  </si>
  <si>
    <t xml:space="preserve">Mois de rentabilité (payback) — détail par scénario</t>
  </si>
  <si>
    <t xml:space="preserve">Cumul rentable ? (Pessimiste)</t>
  </si>
  <si>
    <t xml:space="preserve">Cumul rentable ? (Normal (central))</t>
  </si>
  <si>
    <t xml:space="preserve">Cumul rentable ? (Optimiste)</t>
  </si>
  <si>
    <t xml:space="preserve">Courbe des cumuls — coûts vs revenus (3 scénarios), 36 mois</t>
  </si>
  <si>
    <t xml:space="preserve">KPI produit</t>
  </si>
  <si>
    <t xml:space="preserve">Définition / mode de calcul</t>
  </si>
  <si>
    <t xml:space="preserve">Baseline</t>
  </si>
  <si>
    <t xml:space="preserve">Cible (datée)</t>
  </si>
  <si>
    <t xml:space="preserve">Source de mesure</t>
  </si>
  <si>
    <t xml:space="preserve">Fréquence</t>
  </si>
  <si>
    <t xml:space="preserve">Seuil d'alerte</t>
  </si>
  <si>
    <t xml:space="preserve">Pourquoi ce seuil (résumé)</t>
  </si>
  <si>
    <t xml:space="preserve">Responsable</t>
  </si>
  <si>
    <t xml:space="preserve">Scans par jour actif</t>
  </si>
  <si>
    <t xml:space="preserve">Nombre moyen de scans réalisés par utilisateur actif et par jour</t>
  </si>
  <si>
    <t xml:space="preserve">n/a (pré-lancement)</t>
  </si>
  <si>
    <t xml:space="preserve">≥ 1,5 scan/j actif à M6</t>
  </si>
  <si>
    <t xml:space="preserve">Journaux applicatifs (API)</t>
  </si>
  <si>
    <t xml:space="preserve">Hebdomadaire</t>
  </si>
  <si>
    <t xml:space="preserve">&lt; 0,8 scan/j actif</t>
  </si>
  <si>
    <t xml:space="preserve">En dessous de 0,8, la moyenne des utilisateurs actifs n'atteint même plus le minimum d'une session de courses hebdomadaire type (plusieurs scans par passage en rayon).</t>
  </si>
  <si>
    <t xml:space="preserve">Responsable produit</t>
  </si>
  <si>
    <t xml:space="preserve">Taux d'activation à J7</t>
  </si>
  <si>
    <t xml:space="preserve">Part des nouveaux inscrits ayant scanné au moins un produit dans les 7 jours suivant l'inscription</t>
  </si>
  <si>
    <t xml:space="preserve">≥ 60 % à M6</t>
  </si>
  <si>
    <t xml:space="preserve">Mesure d'usage produit</t>
  </si>
  <si>
    <t xml:space="preserve">&lt; 40 %</t>
  </si>
  <si>
    <t xml:space="preserve">Le persona principal (Sophie, parent pressé) fait ses courses environ une fois par semaine : sous 40 %, la majorité des inscrits n'atteint jamais le moment de vérité en rayon dans son premier cycle de courses.</t>
  </si>
  <si>
    <t xml:space="preserve">Croissance / Marketing</t>
  </si>
  <si>
    <t xml:space="preserve">Rétention à 30 jours</t>
  </si>
  <si>
    <t xml:space="preserve">Part des utilisateurs actifs au mois M qui reviennent au mois M+1</t>
  </si>
  <si>
    <t xml:space="preserve">≥ 40 % à M12 (objectif SMART du cahier des charges)</t>
  </si>
  <si>
    <t xml:space="preserve">Mensuelle</t>
  </si>
  <si>
    <t xml:space="preserve">&lt; 20 %</t>
  </si>
  <si>
    <t xml:space="preserve">Sous 20 %, plus de 8 utilisateurs sur 10 abandonnent après un mois : le modèle d'abonnement mensuel Premium, qui suppose un usage récurrent pour être perçu comme utile, devient alors structurellement injustifiable.</t>
  </si>
  <si>
    <t xml:space="preserve">Taux de substitution acceptée</t>
  </si>
  <si>
    <t xml:space="preserve">Part des recommandations de substitution effectivement retenues par l'utilisateur (clic + confirmation)</t>
  </si>
  <si>
    <t xml:space="preserve">≥ 15 % à M12</t>
  </si>
  <si>
    <t xml:space="preserve">Journaux du moteur de substitution</t>
  </si>
  <si>
    <t xml:space="preserve">&lt; 8 %</t>
  </si>
  <si>
    <t xml:space="preserve">Le moteur de substitution est le premier différenciant cité dans benchmark.md face à Yuka/Foodvisor : sous 8 %, il ne serait utilisé que par une minorité marginale, ce qui invaliderait cet axe du cahier des charges (brique 3). Condition technique nécessaire (pas suffisante) : la précision du moteur (précision@3) doit rester ≥ 85-90 %, hypothèse fixée en direction le 15/09 — voir onglet Hypotheses_fragiles et note d'hypothèses §3.</t>
  </si>
  <si>
    <t xml:space="preserve">Responsable data / IA</t>
  </si>
  <si>
    <t xml:space="preserve">Taux de réponses assistant sourcées</t>
  </si>
  <si>
    <t xml:space="preserve">Part des réponses de l'assistant conversationnel appuyées sur une donnée produit identifiée (pas d'information inventée)</t>
  </si>
  <si>
    <t xml:space="preserve">≥ 90 % dès la mise en production</t>
  </si>
  <si>
    <t xml:space="preserve">Contrôle qualité de l'assistant (échantillon hebdomadaire)</t>
  </si>
  <si>
    <t xml:space="preserve">&lt; 80 %</t>
  </si>
  <si>
    <t xml:space="preserve">US-04 du cahier des charges impose un assistant « sans hallucination ». Sous 80 %, une réponse sur cinq n'est plus vérifiée : le risque de perte de confiance identifié dans opportunite.md (risque R6) devient statistiquement visible pour l'utilisateur.</t>
  </si>
  <si>
    <t xml:space="preserve">Coût par requête assistant</t>
  </si>
  <si>
    <t xml:space="preserve">Coût moyen (consommation du modèle de langage) d'une conversation avec l'assistant conversationnel</t>
  </si>
  <si>
    <t xml:space="preserve">≤ 0,02 € / conversation</t>
  </si>
  <si>
    <t xml:space="preserve">Suivi des coûts d'API du modèle de langage</t>
  </si>
  <si>
    <t xml:space="preserve">&gt; 0,03 €</t>
  </si>
  <si>
    <t xml:space="preserve">Ce seuil découle directement du modèle de coûts du tableur : à 4 000 jetons/conversation, le coût actuel est d'environ 0,008 €. Au-delà de 0,03 € (~4× l'hypothèse retenue), le poste « Run - LLM » menacerait la rentabilité déjà tendue du scénario normal (conversion à 1 %).</t>
  </si>
  <si>
    <t xml:space="preserve">Responsable données / infrastructure</t>
  </si>
  <si>
    <t xml:space="preserve">Pourquoi elle est fragile</t>
  </si>
  <si>
    <t xml:space="preserve">Impact si elle est fausse</t>
  </si>
  <si>
    <t xml:space="preserve">Comment la vérifier tôt</t>
  </si>
  <si>
    <t xml:space="preserve">Jalon de vérification</t>
  </si>
  <si>
    <t xml:space="preserve">Taux de conversion Premium (0,7 % à 3 %, arbitré en direction)</t>
  </si>
  <si>
    <t xml:space="preserve">Aucun essai réel de vente de l'abonnement n'a encore été mené ; c'est une hypothèse resserrée par prudence après échange avec la direction, sans donnée d'usage pour la confirmer.</t>
  </si>
  <si>
    <t xml:space="preserve">C'est le levier qui fait le plus varier le résultat : voir le tableau des ROI (§4 de la note) pour l'écart entre scénarios.</t>
  </si>
  <si>
    <t xml:space="preserve">Présenter l'offre payante (description + bouton d'abonnement, sans encaissement réel) à un groupe test de 200 à 300 utilisateurs avant le lancement public, et mesurer le taux d'intérêt réel.</t>
  </si>
  <si>
    <t xml:space="preserve">Avant J3 (MVP)</t>
  </si>
  <si>
    <t xml:space="preserve">Nombre et vitesse de signature des contrats B2B (0 à 5, 12 000 €/an chacun)</t>
  </si>
  <si>
    <t xml:space="preserve">Aucun distributeur n'est engagé à ce jour ; le cycle de vente B2B (juridique, RGPD, intégration technique) est long et non maîtrisé par l'équipe.</t>
  </si>
  <si>
    <t xml:space="preserve">Représente jusqu'à 60 000 € de revenus en scénario optimiste, soit une part importante des revenus de l'Année 1.</t>
  </si>
  <si>
    <t xml:space="preserve">Prendre contact avec 3 à 5 distributeurs ou enseignes cibles dès le mois 2 pour valider l'intérêt et le montant avant de l'inscrire au budget.</t>
  </si>
  <si>
    <t xml:space="preserve">Avant J2 / J3</t>
  </si>
  <si>
    <t xml:space="preserve">Budget d'acquisition (40 000 €/an) et sa capacité à produire la trajectoire MAU (654 k à M12)</t>
  </si>
  <si>
    <t xml:space="preserve">La trajectoire MAU du TP1 est un objectif, pas une donnée observée : elle suppose un coût d'acquisition par utilisateur qui n'a jamais été mesuré en conditions réelles.</t>
  </si>
  <si>
    <t xml:space="preserve">Si le coût réel d'acquisition est supérieur à l'hypothèse, soit le budget de communication doit augmenter, soit la trajectoire MAU — et donc tous les revenus — ne se réalise pas.</t>
  </si>
  <si>
    <t xml:space="preserve">Suivre le coût d'acquisition réel dès les premières campagnes test (mois 1-2) et le comparer à l'hypothèse implicite ; recalculer la trajectoire si l'écart dépasse 20 %.</t>
  </si>
  <si>
    <t xml:space="preserve">Avant J1 / J2</t>
  </si>
</sst>
</file>

<file path=xl/styles.xml><?xml version="1.0" encoding="utf-8"?>
<styleSheet xmlns="http://schemas.openxmlformats.org/spreadsheetml/2006/main">
  <numFmts count="12">
    <numFmt numFmtId="164" formatCode="General"/>
    <numFmt numFmtId="165" formatCode="0.00%"/>
    <numFmt numFmtId="166" formatCode="#,##0"/>
    <numFmt numFmtId="167" formatCode="#,##0&quot; €&quot;"/>
    <numFmt numFmtId="168" formatCode="0.0%"/>
    <numFmt numFmtId="169" formatCode="0"/>
    <numFmt numFmtId="170" formatCode="0.0"/>
    <numFmt numFmtId="171" formatCode="0.00&quot; €&quot;"/>
    <numFmt numFmtId="172" formatCode="0.00"/>
    <numFmt numFmtId="173" formatCode="\+0%;\-0%;0%"/>
    <numFmt numFmtId="174" formatCode="0.000&quot; €&quot;"/>
    <numFmt numFmtId="175" formatCode="0.000"/>
  </numFmts>
  <fonts count="1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666666"/>
      <name val="Arial"/>
      <family val="0"/>
      <charset val="1"/>
    </font>
    <font>
      <b val="true"/>
      <sz val="11"/>
      <color rgb="FF1F3864"/>
      <name val="Arial"/>
      <family val="0"/>
      <charset val="1"/>
    </font>
    <font>
      <b val="true"/>
      <sz val="11"/>
      <color rgb="FFFFFFFF"/>
      <name val="Arial"/>
      <family val="0"/>
      <charset val="1"/>
    </font>
    <font>
      <sz val="11"/>
      <color rgb="FF0000FF"/>
      <name val="Arial"/>
      <family val="0"/>
      <charset val="1"/>
    </font>
    <font>
      <sz val="11"/>
      <color rgb="FF000000"/>
      <name val="Arial"/>
      <family val="0"/>
      <charset val="1"/>
    </font>
    <font>
      <b val="true"/>
      <sz val="11"/>
      <color rgb="FF0000FF"/>
      <name val="Arial"/>
      <family val="0"/>
      <charset val="1"/>
    </font>
    <font>
      <i val="true"/>
      <sz val="9"/>
      <color rgb="FF444444"/>
      <name val="Arial"/>
      <family val="0"/>
      <charset val="1"/>
    </font>
    <font>
      <i val="true"/>
      <sz val="9"/>
      <name val="Arial"/>
      <family val="0"/>
      <charset val="1"/>
    </font>
    <font>
      <sz val="10"/>
      <name val="Arial"/>
      <family val="2"/>
    </font>
    <font>
      <b val="true"/>
      <sz val="11"/>
      <name val="Arial"/>
      <family val="0"/>
      <charset val="1"/>
    </font>
    <font>
      <b val="true"/>
      <sz val="11"/>
      <color rgb="FF000000"/>
      <name val="Arial"/>
      <family val="0"/>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D9E2F3"/>
        <bgColor rgb="FFD9D9D9"/>
      </patternFill>
    </fill>
    <fill>
      <patternFill patternType="solid">
        <fgColor rgb="FF1F3864"/>
        <bgColor rgb="FF333399"/>
      </patternFill>
    </fill>
    <fill>
      <patternFill patternType="solid">
        <fgColor rgb="FFFFFF00"/>
        <bgColor rgb="FFFFFF00"/>
      </patternFill>
    </fill>
  </fills>
  <borders count="3">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right/>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7" fontId="10" fillId="4" borderId="1" xfId="0" applyFont="true" applyBorder="true" applyAlignment="tru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8" fontId="10" fillId="4" borderId="1" xfId="0" applyFont="true" applyBorder="true" applyAlignment="true" applyProtection="false">
      <alignment horizontal="general" vertical="bottom" textRotation="0" wrapText="false" indent="0" shrinkToFit="false"/>
      <protection locked="true" hidden="false"/>
    </xf>
    <xf numFmtId="169" fontId="10" fillId="4"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70" fontId="10" fillId="4" borderId="1" xfId="0" applyFont="true" applyBorder="true" applyAlignment="true" applyProtection="false">
      <alignment horizontal="general" vertical="bottom" textRotation="0" wrapText="false" indent="0" shrinkToFit="false"/>
      <protection locked="true" hidden="false"/>
    </xf>
    <xf numFmtId="171" fontId="10" fillId="4" borderId="1" xfId="0" applyFont="true" applyBorder="true" applyAlignment="true" applyProtection="false">
      <alignment horizontal="general" vertical="bottom" textRotation="0" wrapText="false" indent="0" shrinkToFit="false"/>
      <protection locked="true" hidden="false"/>
    </xf>
    <xf numFmtId="166" fontId="10" fillId="4" borderId="1" xfId="0" applyFont="true" applyBorder="true" applyAlignment="true" applyProtection="false">
      <alignment horizontal="general" vertical="bottom" textRotation="0" wrapText="false" indent="0" shrinkToFit="false"/>
      <protection locked="true" hidden="false"/>
    </xf>
    <xf numFmtId="172" fontId="10" fillId="4"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73" fontId="10" fillId="4"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9" fontId="10" fillId="4" borderId="0" xfId="0" applyFont="true" applyBorder="false" applyAlignment="false" applyProtection="false">
      <alignment horizontal="general" vertical="bottom" textRotation="0" wrapText="false" indent="0" shrinkToFit="false"/>
      <protection locked="true" hidden="false"/>
    </xf>
    <xf numFmtId="167" fontId="10" fillId="4"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74" fontId="10" fillId="4"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6" fontId="0" fillId="0" borderId="1" xfId="0" applyFont="false" applyBorder="true" applyAlignment="tru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general" vertical="bottom" textRotation="0" wrapText="false" indent="0" shrinkToFit="false"/>
      <protection locked="true" hidden="false"/>
    </xf>
    <xf numFmtId="175" fontId="0" fillId="0" borderId="1" xfId="0" applyFont="false" applyBorder="true" applyAlignment="true" applyProtection="false">
      <alignment horizontal="general" vertical="bottom" textRotation="0" wrapText="false" indent="0" shrinkToFit="false"/>
      <protection locked="true" hidden="false"/>
    </xf>
    <xf numFmtId="166" fontId="14" fillId="0" borderId="1" xfId="0" applyFont="true" applyBorder="true" applyAlignment="true" applyProtection="false">
      <alignment horizontal="general" vertical="bottom" textRotation="0" wrapText="false" indent="0" shrinkToFit="false"/>
      <protection locked="true" hidden="false"/>
    </xf>
    <xf numFmtId="164" fontId="7" fillId="3" borderId="2" xfId="0" applyFont="true" applyBorder="true" applyAlignment="true" applyProtection="false">
      <alignment horizontal="general" vertical="center" textRotation="0" wrapText="true" indent="0" shrinkToFit="false"/>
      <protection locked="true" hidden="false"/>
    </xf>
    <xf numFmtId="167" fontId="9" fillId="0" borderId="2" xfId="0" applyFont="true" applyBorder="true" applyAlignment="true" applyProtection="false">
      <alignment horizontal="general" vertical="bottom" textRotation="0" wrapText="false" indent="0" shrinkToFit="false"/>
      <protection locked="true" hidden="false"/>
    </xf>
    <xf numFmtId="167" fontId="15" fillId="0" borderId="2" xfId="0" applyFont="true" applyBorder="true" applyAlignment="false" applyProtection="false">
      <alignment horizontal="general" vertical="bottom" textRotation="0" wrapText="false" indent="0" shrinkToFit="false"/>
      <protection locked="true" hidden="false"/>
    </xf>
    <xf numFmtId="167" fontId="9" fillId="0" borderId="2" xfId="0" applyFont="true" applyBorder="true" applyAlignment="false" applyProtection="false">
      <alignment horizontal="general" vertical="bottom" textRotation="0" wrapText="false" indent="0" shrinkToFit="false"/>
      <protection locked="true" hidden="false"/>
    </xf>
    <xf numFmtId="167" fontId="14" fillId="0" borderId="1" xfId="0" applyFont="true" applyBorder="true" applyAlignment="tru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general" vertical="bottom" textRotation="0" wrapText="false" indent="0" shrinkToFit="false"/>
      <protection locked="true" hidden="false"/>
    </xf>
    <xf numFmtId="169" fontId="0" fillId="0" borderId="1" xfId="0" applyFont="fals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666666"/>
      <rgbColor rgb="FF800080"/>
      <rgbColor rgb="FF008080"/>
      <rgbColor rgb="FFB7B7B7"/>
      <rgbColor rgb="FF878787"/>
      <rgbColor rgb="FF9999FF"/>
      <rgbColor rgb="FFBE4B48"/>
      <rgbColor rgb="FFFFFFCC"/>
      <rgbColor rgb="FFD9E2F3"/>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4A7EBB"/>
      <rgbColor rgb="FF33CCCC"/>
      <rgbColor rgb="FF98B855"/>
      <rgbColor rgb="FFFFCC00"/>
      <rgbColor rgb="FFFF9900"/>
      <rgbColor rgb="FFFF6600"/>
      <rgbColor rgb="FF7D5FA0"/>
      <rgbColor rgb="FF969696"/>
      <rgbColor rgb="FF1F3864"/>
      <rgbColor rgb="FF339966"/>
      <rgbColor rgb="FF003300"/>
      <rgbColor rgb="FF333300"/>
      <rgbColor rgb="FF993300"/>
      <rgbColor rgb="FF993366"/>
      <rgbColor rgb="FF333399"/>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Cumuls coûts / revenus — 36 mois</a:t>
            </a:r>
          </a:p>
        </c:rich>
      </c:tx>
      <c:overlay val="0"/>
      <c:spPr>
        <a:noFill/>
        <a:ln w="0">
          <a:noFill/>
        </a:ln>
      </c:spPr>
    </c:title>
    <c:autoTitleDeleted val="0"/>
    <c:plotArea>
      <c:lineChart>
        <c:grouping val="standard"/>
        <c:varyColors val="0"/>
        <c:ser>
          <c:idx val="0"/>
          <c:order val="0"/>
          <c:tx>
            <c:strRef>
              <c:f>Couts!M1</c:f>
              <c:strCache>
                <c:ptCount val="1"/>
                <c:pt idx="0">
                  <c:v>Cumul</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Couts!$A$2:$A$37</c:f>
              <c:strCache>
                <c:ptCount val="3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strCache>
            </c:strRef>
          </c:cat>
          <c:val>
            <c:numRef>
              <c:f>Couts!$M$2:$M$37</c:f>
              <c:numCache>
                <c:formatCode>#,##0" €"</c:formatCode>
                <c:ptCount val="36"/>
                <c:pt idx="0">
                  <c:v>38463.1026190476</c:v>
                </c:pt>
                <c:pt idx="1">
                  <c:v>62661.6443104223</c:v>
                </c:pt>
                <c:pt idx="2">
                  <c:v>87507.3723854448</c:v>
                </c:pt>
                <c:pt idx="3">
                  <c:v>112912.034155436</c:v>
                </c:pt>
                <c:pt idx="4">
                  <c:v>138875.629620395</c:v>
                </c:pt>
                <c:pt idx="5">
                  <c:v>165456.99390611</c:v>
                </c:pt>
                <c:pt idx="6">
                  <c:v>193059.433191824</c:v>
                </c:pt>
                <c:pt idx="7">
                  <c:v>204348.610572776</c:v>
                </c:pt>
                <c:pt idx="8">
                  <c:v>216756.108191824</c:v>
                </c:pt>
                <c:pt idx="9">
                  <c:v>230281.926048967</c:v>
                </c:pt>
                <c:pt idx="10">
                  <c:v>244731.573668014</c:v>
                </c:pt>
                <c:pt idx="11">
                  <c:v>260153.673668014</c:v>
                </c:pt>
                <c:pt idx="12">
                  <c:v>276835.593773834</c:v>
                </c:pt>
                <c:pt idx="13">
                  <c:v>295092.28901193</c:v>
                </c:pt>
                <c:pt idx="14">
                  <c:v>314734.786366427</c:v>
                </c:pt>
                <c:pt idx="15">
                  <c:v>335574.112821454</c:v>
                </c:pt>
                <c:pt idx="16">
                  <c:v>357610.268377009</c:v>
                </c:pt>
                <c:pt idx="17">
                  <c:v>380969.235043676</c:v>
                </c:pt>
                <c:pt idx="18">
                  <c:v>405892.401710342</c:v>
                </c:pt>
                <c:pt idx="19">
                  <c:v>432305.282662723</c:v>
                </c:pt>
                <c:pt idx="20">
                  <c:v>460431.335043676</c:v>
                </c:pt>
                <c:pt idx="21">
                  <c:v>490270.5588532</c:v>
                </c:pt>
                <c:pt idx="22">
                  <c:v>521525.011234152</c:v>
                </c:pt>
                <c:pt idx="23">
                  <c:v>554269.177900819</c:v>
                </c:pt>
                <c:pt idx="24">
                  <c:v>588705.365731507</c:v>
                </c:pt>
                <c:pt idx="25">
                  <c:v>625256.580017221</c:v>
                </c:pt>
                <c:pt idx="26">
                  <c:v>663669.017583358</c:v>
                </c:pt>
                <c:pt idx="27">
                  <c:v>703688.875255316</c:v>
                </c:pt>
                <c:pt idx="28">
                  <c:v>745316.153033094</c:v>
                </c:pt>
                <c:pt idx="29">
                  <c:v>788720.053033094</c:v>
                </c:pt>
                <c:pt idx="30">
                  <c:v>834088.858588649</c:v>
                </c:pt>
                <c:pt idx="31">
                  <c:v>881329.002768544</c:v>
                </c:pt>
                <c:pt idx="32">
                  <c:v>930721.186366427</c:v>
                </c:pt>
                <c:pt idx="33">
                  <c:v>982265.4093823</c:v>
                </c:pt>
                <c:pt idx="34">
                  <c:v>1035587.40409129</c:v>
                </c:pt>
                <c:pt idx="35">
                  <c:v>1090780.73742463</c:v>
                </c:pt>
              </c:numCache>
            </c:numRef>
          </c:val>
          <c:smooth val="1"/>
        </c:ser>
        <c:ser>
          <c:idx val="1"/>
          <c:order val="1"/>
          <c:tx>
            <c:strRef>
              <c:f>Revenus!F1</c:f>
              <c:strCache>
                <c:ptCount val="1"/>
                <c:pt idx="0">
                  <c:v>Cumul - Pess.</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Couts!$A$2:$A$37</c:f>
              <c:strCache>
                <c:ptCount val="3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strCache>
            </c:strRef>
          </c:cat>
          <c:val>
            <c:numRef>
              <c:f>Revenus!$F$2:$F$37</c:f>
              <c:numCache>
                <c:formatCode>#,##0" €"</c:formatCode>
                <c:ptCount val="36"/>
                <c:pt idx="0">
                  <c:v>328.601</c:v>
                </c:pt>
                <c:pt idx="1">
                  <c:v>1719.99185849057</c:v>
                </c:pt>
                <c:pt idx="2">
                  <c:v>4046.63779245283</c:v>
                </c:pt>
                <c:pt idx="3">
                  <c:v>7181.00401886793</c:v>
                </c:pt>
                <c:pt idx="4">
                  <c:v>11123.0905377359</c:v>
                </c:pt>
                <c:pt idx="5">
                  <c:v>15957.9205377359</c:v>
                </c:pt>
                <c:pt idx="6">
                  <c:v>22268.3155377359</c:v>
                </c:pt>
                <c:pt idx="7">
                  <c:v>29984.0105377359</c:v>
                </c:pt>
                <c:pt idx="8">
                  <c:v>39315.8005377359</c:v>
                </c:pt>
                <c:pt idx="9">
                  <c:v>50263.6855377359</c:v>
                </c:pt>
                <c:pt idx="10">
                  <c:v>62546.6055377359</c:v>
                </c:pt>
                <c:pt idx="11">
                  <c:v>76234.8255377359</c:v>
                </c:pt>
                <c:pt idx="12">
                  <c:v>91743.6233155136</c:v>
                </c:pt>
                <c:pt idx="13">
                  <c:v>109528.143315514</c:v>
                </c:pt>
                <c:pt idx="14">
                  <c:v>129315.298871069</c:v>
                </c:pt>
                <c:pt idx="15">
                  <c:v>150832.003315514</c:v>
                </c:pt>
                <c:pt idx="16">
                  <c:v>174078.256648847</c:v>
                </c:pt>
                <c:pt idx="17">
                  <c:v>199236.116648847</c:v>
                </c:pt>
                <c:pt idx="18">
                  <c:v>226654.416648847</c:v>
                </c:pt>
                <c:pt idx="19">
                  <c:v>256225.516648847</c:v>
                </c:pt>
                <c:pt idx="20">
                  <c:v>288272.336648847</c:v>
                </c:pt>
                <c:pt idx="21">
                  <c:v>322794.876648847</c:v>
                </c:pt>
                <c:pt idx="22">
                  <c:v>359362.576648847</c:v>
                </c:pt>
                <c:pt idx="23">
                  <c:v>398083.076648847</c:v>
                </c:pt>
                <c:pt idx="24">
                  <c:v>439248.732204403</c:v>
                </c:pt>
                <c:pt idx="25">
                  <c:v>483470.832204403</c:v>
                </c:pt>
                <c:pt idx="26">
                  <c:v>530382.603315514</c:v>
                </c:pt>
                <c:pt idx="27">
                  <c:v>579617.272204403</c:v>
                </c:pt>
                <c:pt idx="28">
                  <c:v>631174.838871069</c:v>
                </c:pt>
                <c:pt idx="29">
                  <c:v>685299.818871069</c:v>
                </c:pt>
                <c:pt idx="30">
                  <c:v>742264.302204403</c:v>
                </c:pt>
                <c:pt idx="31">
                  <c:v>801933.074426625</c:v>
                </c:pt>
                <c:pt idx="32">
                  <c:v>864711.778871069</c:v>
                </c:pt>
                <c:pt idx="33">
                  <c:v>930600.415537736</c:v>
                </c:pt>
                <c:pt idx="34">
                  <c:v>999058.126648847</c:v>
                </c:pt>
                <c:pt idx="35">
                  <c:v>1070220.12664885</c:v>
                </c:pt>
              </c:numCache>
            </c:numRef>
          </c:val>
          <c:smooth val="1"/>
        </c:ser>
        <c:ser>
          <c:idx val="2"/>
          <c:order val="2"/>
          <c:tx>
            <c:strRef>
              <c:f>Revenus!J1</c:f>
              <c:strCache>
                <c:ptCount val="1"/>
                <c:pt idx="0">
                  <c:v>Cumul - Normal</c:v>
                </c:pt>
              </c:strCache>
            </c:strRef>
          </c:tx>
          <c:spPr>
            <a:solidFill>
              <a:srgbClr val="98b855"/>
            </a:solidFill>
            <a:ln w="28440">
              <a:solidFill>
                <a:srgbClr val="98b855"/>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Couts!$A$2:$A$37</c:f>
              <c:strCache>
                <c:ptCount val="3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strCache>
            </c:strRef>
          </c:cat>
          <c:val>
            <c:numRef>
              <c:f>Revenus!$J$2:$J$37</c:f>
              <c:numCache>
                <c:formatCode>#,##0" €"</c:formatCode>
                <c:ptCount val="36"/>
                <c:pt idx="0">
                  <c:v>2469.43</c:v>
                </c:pt>
                <c:pt idx="1">
                  <c:v>6457.1312264151</c:v>
                </c:pt>
                <c:pt idx="2">
                  <c:v>11780.9111320755</c:v>
                </c:pt>
                <c:pt idx="3">
                  <c:v>18258.5771698113</c:v>
                </c:pt>
                <c:pt idx="4">
                  <c:v>25890.1293396226</c:v>
                </c:pt>
                <c:pt idx="5">
                  <c:v>34797.0293396227</c:v>
                </c:pt>
                <c:pt idx="6">
                  <c:v>45811.8793396227</c:v>
                </c:pt>
                <c:pt idx="7">
                  <c:v>58834.3007681941</c:v>
                </c:pt>
                <c:pt idx="8">
                  <c:v>74165.4293396227</c:v>
                </c:pt>
                <c:pt idx="9">
                  <c:v>91805.2650539084</c:v>
                </c:pt>
                <c:pt idx="10">
                  <c:v>111352.293625337</c:v>
                </c:pt>
                <c:pt idx="11">
                  <c:v>132906.893625337</c:v>
                </c:pt>
                <c:pt idx="12">
                  <c:v>157062.319022162</c:v>
                </c:pt>
                <c:pt idx="13">
                  <c:v>184468.776165019</c:v>
                </c:pt>
                <c:pt idx="14">
                  <c:v>214736.141244385</c:v>
                </c:pt>
                <c:pt idx="15">
                  <c:v>247474.290450734</c:v>
                </c:pt>
                <c:pt idx="16">
                  <c:v>282683.223784067</c:v>
                </c:pt>
                <c:pt idx="17">
                  <c:v>320623.023784067</c:v>
                </c:pt>
                <c:pt idx="18">
                  <c:v>361792.023784067</c:v>
                </c:pt>
                <c:pt idx="19">
                  <c:v>406036.452355496</c:v>
                </c:pt>
                <c:pt idx="20">
                  <c:v>453817.623784067</c:v>
                </c:pt>
                <c:pt idx="21">
                  <c:v>505135.538069781</c:v>
                </c:pt>
                <c:pt idx="22">
                  <c:v>559375.109498353</c:v>
                </c:pt>
                <c:pt idx="23">
                  <c:v>616690.109498353</c:v>
                </c:pt>
                <c:pt idx="24">
                  <c:v>677498.188863432</c:v>
                </c:pt>
                <c:pt idx="25">
                  <c:v>742672.617434861</c:v>
                </c:pt>
                <c:pt idx="26">
                  <c:v>811689.433307877</c:v>
                </c:pt>
                <c:pt idx="27">
                  <c:v>884024.674577718</c:v>
                </c:pt>
                <c:pt idx="28">
                  <c:v>959678.341244385</c:v>
                </c:pt>
                <c:pt idx="29">
                  <c:v>1038999.74124438</c:v>
                </c:pt>
                <c:pt idx="30">
                  <c:v>1122377.57457772</c:v>
                </c:pt>
                <c:pt idx="31">
                  <c:v>1209618.67775232</c:v>
                </c:pt>
                <c:pt idx="32">
                  <c:v>1301302.54124438</c:v>
                </c:pt>
                <c:pt idx="33">
                  <c:v>1397429.16505391</c:v>
                </c:pt>
                <c:pt idx="34">
                  <c:v>1497225.89521264</c:v>
                </c:pt>
                <c:pt idx="35">
                  <c:v>1600885.89521264</c:v>
                </c:pt>
              </c:numCache>
            </c:numRef>
          </c:val>
          <c:smooth val="1"/>
        </c:ser>
        <c:ser>
          <c:idx val="3"/>
          <c:order val="3"/>
          <c:tx>
            <c:strRef>
              <c:f>Revenus!N1</c:f>
              <c:strCache>
                <c:ptCount val="1"/>
                <c:pt idx="0">
                  <c:v>Cumul - Opti.</c:v>
                </c:pt>
              </c:strCache>
            </c:strRef>
          </c:tx>
          <c:spPr>
            <a:solidFill>
              <a:srgbClr val="7d5fa0"/>
            </a:solidFill>
            <a:ln w="28440">
              <a:solidFill>
                <a:srgbClr val="7d5fa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Couts!$A$2:$A$37</c:f>
              <c:strCache>
                <c:ptCount val="3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strCache>
            </c:strRef>
          </c:cat>
          <c:val>
            <c:numRef>
              <c:f>Revenus!$N$2:$N$37</c:f>
              <c:numCache>
                <c:formatCode>#,##0" €"</c:formatCode>
                <c:ptCount val="36"/>
                <c:pt idx="0">
                  <c:v>5938.86</c:v>
                </c:pt>
                <c:pt idx="1">
                  <c:v>14914.2624528302</c:v>
                </c:pt>
                <c:pt idx="2">
                  <c:v>26561.8222641509</c:v>
                </c:pt>
                <c:pt idx="3">
                  <c:v>40517.1543396227</c:v>
                </c:pt>
                <c:pt idx="4">
                  <c:v>56780.2586792453</c:v>
                </c:pt>
                <c:pt idx="5">
                  <c:v>75594.0586792453</c:v>
                </c:pt>
                <c:pt idx="6">
                  <c:v>98623.7586792453</c:v>
                </c:pt>
                <c:pt idx="7">
                  <c:v>125668.601536388</c:v>
                </c:pt>
                <c:pt idx="8">
                  <c:v>157330.858679245</c:v>
                </c:pt>
                <c:pt idx="9">
                  <c:v>193610.530107817</c:v>
                </c:pt>
                <c:pt idx="10">
                  <c:v>233704.587250674</c:v>
                </c:pt>
                <c:pt idx="11">
                  <c:v>277813.787250674</c:v>
                </c:pt>
                <c:pt idx="12">
                  <c:v>327124.638044325</c:v>
                </c:pt>
                <c:pt idx="13">
                  <c:v>382937.552330039</c:v>
                </c:pt>
                <c:pt idx="14">
                  <c:v>444472.282488769</c:v>
                </c:pt>
                <c:pt idx="15">
                  <c:v>510948.580901468</c:v>
                </c:pt>
                <c:pt idx="16">
                  <c:v>582366.447568134</c:v>
                </c:pt>
                <c:pt idx="17">
                  <c:v>659246.047568134</c:v>
                </c:pt>
                <c:pt idx="18">
                  <c:v>742584.047568134</c:v>
                </c:pt>
                <c:pt idx="19">
                  <c:v>832072.904710991</c:v>
                </c:pt>
                <c:pt idx="20">
                  <c:v>928635.247568134</c:v>
                </c:pt>
                <c:pt idx="21">
                  <c:v>1032271.07613956</c:v>
                </c:pt>
                <c:pt idx="22">
                  <c:v>1141750.21899671</c:v>
                </c:pt>
                <c:pt idx="23">
                  <c:v>1257380.21899671</c:v>
                </c:pt>
                <c:pt idx="24">
                  <c:v>1379996.37772686</c:v>
                </c:pt>
                <c:pt idx="25">
                  <c:v>1511345.23486972</c:v>
                </c:pt>
                <c:pt idx="26">
                  <c:v>1650378.86661575</c:v>
                </c:pt>
                <c:pt idx="27">
                  <c:v>1796049.34915544</c:v>
                </c:pt>
                <c:pt idx="28">
                  <c:v>1948356.68248877</c:v>
                </c:pt>
                <c:pt idx="29">
                  <c:v>2107999.48248877</c:v>
                </c:pt>
                <c:pt idx="30">
                  <c:v>2275755.14915544</c:v>
                </c:pt>
                <c:pt idx="31">
                  <c:v>2451237.35550464</c:v>
                </c:pt>
                <c:pt idx="32">
                  <c:v>2635605.08248877</c:v>
                </c:pt>
                <c:pt idx="33">
                  <c:v>2828858.33010782</c:v>
                </c:pt>
                <c:pt idx="34">
                  <c:v>3029451.79042528</c:v>
                </c:pt>
                <c:pt idx="35">
                  <c:v>3237771.79042528</c:v>
                </c:pt>
              </c:numCache>
            </c:numRef>
          </c:val>
          <c:smooth val="1"/>
        </c:ser>
        <c:hiLowLines>
          <c:spPr>
            <a:ln w="0">
              <a:noFill/>
            </a:ln>
          </c:spPr>
        </c:hiLowLines>
        <c:marker val="0"/>
        <c:axId val="62758297"/>
        <c:axId val="94724029"/>
      </c:lineChart>
      <c:catAx>
        <c:axId val="6275829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Mois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724029"/>
        <c:crosses val="autoZero"/>
        <c:auto val="1"/>
        <c:lblAlgn val="ctr"/>
        <c:lblOffset val="100"/>
        <c:noMultiLvlLbl val="0"/>
      </c:catAx>
      <c:valAx>
        <c:axId val="9472402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cumulés</a:t>
                </a:r>
              </a:p>
            </c:rich>
          </c:tx>
          <c:overlay val="0"/>
          <c:spPr>
            <a:noFill/>
            <a:ln w="0">
              <a:noFill/>
            </a:ln>
          </c:spPr>
        </c:title>
        <c:numFmt formatCode="#,##0&quot; €&quot;"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75829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46</xdr:row>
      <xdr:rowOff>79200</xdr:rowOff>
    </xdr:from>
    <xdr:to>
      <xdr:col>8</xdr:col>
      <xdr:colOff>900360</xdr:colOff>
      <xdr:row>70</xdr:row>
      <xdr:rowOff>185760</xdr:rowOff>
    </xdr:to>
    <xdr:graphicFrame>
      <xdr:nvGraphicFramePr>
        <xdr:cNvPr id="0" name="Chart 1"/>
        <xdr:cNvGraphicFramePr/>
      </xdr:nvGraphicFramePr>
      <xdr:xfrm>
        <a:off x="0" y="9318600"/>
        <a:ext cx="9358560" cy="4678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5" min="2" style="1" width="16"/>
    <col collapsed="false" customWidth="true" hidden="false" outlineLevel="0" max="6" min="6" style="1" width="14"/>
    <col collapsed="false" customWidth="true" hidden="false" outlineLevel="0" max="7" min="7" style="1" width="60"/>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c r="B4" s="5"/>
      <c r="C4" s="5"/>
      <c r="D4" s="5"/>
      <c r="E4" s="5"/>
      <c r="F4" s="5"/>
      <c r="G4" s="5"/>
    </row>
    <row r="5" customFormat="false" ht="26.25" hidden="false" customHeight="true" outlineLevel="0" collapsed="false">
      <c r="A5" s="6" t="s">
        <v>3</v>
      </c>
      <c r="B5" s="6" t="s">
        <v>4</v>
      </c>
      <c r="C5" s="6" t="s">
        <v>5</v>
      </c>
    </row>
    <row r="6" customFormat="false" ht="15" hidden="false" customHeight="true" outlineLevel="0" collapsed="false">
      <c r="A6" s="7" t="n">
        <v>1</v>
      </c>
      <c r="B6" s="8" t="n">
        <v>0.0004</v>
      </c>
      <c r="C6" s="9" t="n">
        <v>15700</v>
      </c>
    </row>
    <row r="7" customFormat="false" ht="15" hidden="false" customHeight="true" outlineLevel="0" collapsed="false">
      <c r="A7" s="7" t="n">
        <v>6</v>
      </c>
      <c r="B7" s="8" t="n">
        <v>0.0058</v>
      </c>
      <c r="C7" s="9" t="n">
        <v>231000</v>
      </c>
    </row>
    <row r="8" customFormat="false" ht="15" hidden="false" customHeight="true" outlineLevel="0" collapsed="false">
      <c r="A8" s="7" t="n">
        <v>12</v>
      </c>
      <c r="B8" s="8" t="n">
        <v>0.0164</v>
      </c>
      <c r="C8" s="9" t="n">
        <v>654000</v>
      </c>
    </row>
    <row r="9" customFormat="false" ht="15" hidden="false" customHeight="true" outlineLevel="0" collapsed="false">
      <c r="A9" s="7" t="n">
        <v>18</v>
      </c>
      <c r="B9" s="8" t="n">
        <v>0.0301</v>
      </c>
      <c r="C9" s="9" t="n">
        <v>1202000</v>
      </c>
    </row>
    <row r="10" customFormat="false" ht="15" hidden="false" customHeight="true" outlineLevel="0" collapsed="false">
      <c r="A10" s="7" t="n">
        <v>24</v>
      </c>
      <c r="B10" s="8" t="n">
        <v>0.0463</v>
      </c>
      <c r="C10" s="9" t="n">
        <v>1850000</v>
      </c>
    </row>
    <row r="11" customFormat="false" ht="15" hidden="false" customHeight="true" outlineLevel="0" collapsed="false">
      <c r="A11" s="7" t="n">
        <v>30</v>
      </c>
      <c r="B11" s="8" t="n">
        <v>0.0647</v>
      </c>
      <c r="C11" s="9" t="n">
        <v>2586000</v>
      </c>
    </row>
    <row r="12" customFormat="false" ht="15" hidden="false" customHeight="true" outlineLevel="0" collapsed="false">
      <c r="A12" s="7" t="n">
        <v>36</v>
      </c>
      <c r="B12" s="8" t="n">
        <v>0.085</v>
      </c>
      <c r="C12" s="9" t="n">
        <v>3400000</v>
      </c>
    </row>
    <row r="13" customFormat="false" ht="15" hidden="false" customHeight="true" outlineLevel="0" collapsed="false">
      <c r="A13" s="3" t="s">
        <v>6</v>
      </c>
    </row>
    <row r="15" customFormat="false" ht="15" hidden="false" customHeight="true" outlineLevel="0" collapsed="false">
      <c r="A15" s="4" t="s">
        <v>7</v>
      </c>
      <c r="B15" s="5"/>
      <c r="C15" s="5"/>
      <c r="D15" s="5"/>
      <c r="E15" s="5"/>
      <c r="F15" s="5"/>
      <c r="G15" s="5"/>
    </row>
    <row r="16" customFormat="false" ht="15" hidden="false" customHeight="true" outlineLevel="0" collapsed="false">
      <c r="A16" s="10" t="s">
        <v>8</v>
      </c>
      <c r="B16" s="11" t="n">
        <v>2.99</v>
      </c>
    </row>
    <row r="17" customFormat="false" ht="15" hidden="false" customHeight="true" outlineLevel="0" collapsed="false">
      <c r="A17" s="10" t="s">
        <v>9</v>
      </c>
      <c r="B17" s="12" t="n">
        <f aca="false">Hypotheses!$B$16*12</f>
        <v>35.88</v>
      </c>
    </row>
    <row r="18" customFormat="false" ht="15" hidden="false" customHeight="true" outlineLevel="0" collapsed="false">
      <c r="A18" s="10" t="s">
        <v>10</v>
      </c>
      <c r="B18" s="11" t="n">
        <v>12000</v>
      </c>
    </row>
    <row r="20" customFormat="false" ht="15" hidden="false" customHeight="true" outlineLevel="0" collapsed="false">
      <c r="A20" s="13" t="s">
        <v>11</v>
      </c>
      <c r="B20" s="13" t="s">
        <v>12</v>
      </c>
      <c r="C20" s="13" t="s">
        <v>13</v>
      </c>
      <c r="D20" s="13" t="s">
        <v>14</v>
      </c>
    </row>
    <row r="21" customFormat="false" ht="15" hidden="false" customHeight="true" outlineLevel="0" collapsed="false">
      <c r="A21" s="14" t="s">
        <v>15</v>
      </c>
      <c r="B21" s="15" t="n">
        <v>0.007</v>
      </c>
      <c r="C21" s="15" t="n">
        <v>0.01</v>
      </c>
      <c r="D21" s="15" t="n">
        <v>0.02</v>
      </c>
    </row>
    <row r="22" customFormat="false" ht="15" hidden="false" customHeight="true" outlineLevel="0" collapsed="false">
      <c r="A22" s="14" t="s">
        <v>16</v>
      </c>
      <c r="B22" s="16" t="n">
        <v>0</v>
      </c>
      <c r="C22" s="16" t="n">
        <v>2</v>
      </c>
      <c r="D22" s="16" t="n">
        <v>5</v>
      </c>
    </row>
    <row r="23" customFormat="false" ht="21.75" hidden="false" customHeight="true" outlineLevel="0" collapsed="false">
      <c r="A23" s="17" t="s">
        <v>17</v>
      </c>
      <c r="B23" s="17"/>
      <c r="C23" s="17"/>
      <c r="D23" s="17"/>
      <c r="E23" s="17"/>
      <c r="F23" s="17"/>
      <c r="G23" s="17"/>
    </row>
    <row r="25" customFormat="false" ht="15" hidden="false" customHeight="true" outlineLevel="0" collapsed="false">
      <c r="A25" s="4" t="s">
        <v>18</v>
      </c>
      <c r="B25" s="5"/>
      <c r="C25" s="5"/>
      <c r="D25" s="5"/>
      <c r="E25" s="5"/>
      <c r="F25" s="5"/>
      <c r="G25" s="5"/>
    </row>
    <row r="26" customFormat="false" ht="15" hidden="false" customHeight="true" outlineLevel="0" collapsed="false">
      <c r="A26" s="10" t="s">
        <v>19</v>
      </c>
      <c r="B26" s="18" t="n">
        <v>3</v>
      </c>
    </row>
    <row r="27" customFormat="false" ht="15" hidden="false" customHeight="true" outlineLevel="0" collapsed="false">
      <c r="A27" s="10" t="s">
        <v>20</v>
      </c>
      <c r="B27" s="11" t="n">
        <v>58000</v>
      </c>
    </row>
    <row r="28" customFormat="false" ht="15" hidden="false" customHeight="true" outlineLevel="0" collapsed="false">
      <c r="A28" s="10" t="s">
        <v>21</v>
      </c>
      <c r="B28" s="16" t="n">
        <v>7</v>
      </c>
    </row>
    <row r="29" customFormat="false" ht="15" hidden="false" customHeight="true" outlineLevel="0" collapsed="false">
      <c r="A29" s="10" t="s">
        <v>22</v>
      </c>
      <c r="B29" s="12" t="n">
        <f aca="false">Hypotheses!$B$26*Hypotheses!$B$27*Hypotheses!$B$28/12</f>
        <v>101500</v>
      </c>
    </row>
    <row r="30" customFormat="false" ht="15" hidden="false" customHeight="true" outlineLevel="0" collapsed="false">
      <c r="A30" s="10" t="s">
        <v>23</v>
      </c>
      <c r="B30" s="16" t="n">
        <v>30</v>
      </c>
    </row>
    <row r="31" customFormat="false" ht="15" hidden="false" customHeight="true" outlineLevel="0" collapsed="false">
      <c r="A31" s="10" t="s">
        <v>24</v>
      </c>
      <c r="B31" s="11" t="n">
        <v>500</v>
      </c>
    </row>
    <row r="32" customFormat="false" ht="15" hidden="false" customHeight="true" outlineLevel="0" collapsed="false">
      <c r="A32" s="10" t="s">
        <v>25</v>
      </c>
      <c r="B32" s="12" t="n">
        <f aca="false">Hypotheses!$B$30*Hypotheses!$B$31</f>
        <v>15000</v>
      </c>
    </row>
    <row r="33" customFormat="false" ht="15" hidden="false" customHeight="true" outlineLevel="0" collapsed="false">
      <c r="A33" s="10" t="s">
        <v>26</v>
      </c>
      <c r="B33" s="12" t="n">
        <f aca="false">Hypotheses!$B$29+Hypotheses!$B$32+Hypotheses!$B$88</f>
        <v>136000</v>
      </c>
    </row>
    <row r="34" customFormat="false" ht="15" hidden="false" customHeight="true" outlineLevel="0" collapsed="false">
      <c r="A34" s="1" t="s">
        <v>27</v>
      </c>
    </row>
    <row r="35" customFormat="false" ht="15" hidden="false" customHeight="true" outlineLevel="0" collapsed="false">
      <c r="A35" s="4" t="s">
        <v>28</v>
      </c>
      <c r="B35" s="5"/>
      <c r="C35" s="5"/>
      <c r="D35" s="5"/>
      <c r="E35" s="5"/>
      <c r="F35" s="5"/>
      <c r="G35" s="5"/>
    </row>
    <row r="36" customFormat="false" ht="15" hidden="false" customHeight="true" outlineLevel="0" collapsed="false">
      <c r="A36" s="10" t="s">
        <v>29</v>
      </c>
      <c r="B36" s="19" t="n">
        <v>0.12</v>
      </c>
    </row>
    <row r="37" customFormat="false" ht="15" hidden="false" customHeight="true" outlineLevel="0" collapsed="false">
      <c r="A37" s="10" t="s">
        <v>30</v>
      </c>
      <c r="B37" s="19" t="n">
        <v>0.015</v>
      </c>
    </row>
    <row r="38" customFormat="false" ht="15" hidden="false" customHeight="true" outlineLevel="0" collapsed="false">
      <c r="A38" s="10" t="s">
        <v>31</v>
      </c>
      <c r="B38" s="15" t="n">
        <v>0.1</v>
      </c>
    </row>
    <row r="39" customFormat="false" ht="15" hidden="false" customHeight="true" outlineLevel="0" collapsed="false">
      <c r="A39" s="10" t="s">
        <v>32</v>
      </c>
      <c r="B39" s="18" t="n">
        <v>3</v>
      </c>
    </row>
    <row r="40" customFormat="false" ht="15" hidden="false" customHeight="true" outlineLevel="0" collapsed="false">
      <c r="A40" s="10" t="s">
        <v>33</v>
      </c>
      <c r="B40" s="20" t="n">
        <v>4000</v>
      </c>
    </row>
    <row r="41" customFormat="false" ht="15" hidden="false" customHeight="true" outlineLevel="0" collapsed="false">
      <c r="A41" s="10" t="s">
        <v>34</v>
      </c>
      <c r="B41" s="11" t="n">
        <v>2</v>
      </c>
    </row>
    <row r="42" customFormat="false" ht="15" hidden="false" customHeight="true" outlineLevel="0" collapsed="false">
      <c r="A42" s="10" t="s">
        <v>35</v>
      </c>
      <c r="B42" s="21" t="n">
        <v>0.3</v>
      </c>
    </row>
    <row r="43" customFormat="false" ht="15" hidden="false" customHeight="true" outlineLevel="0" collapsed="false">
      <c r="A43" s="10" t="s">
        <v>36</v>
      </c>
      <c r="B43" s="12" t="n">
        <f aca="false">Hypotheses!$B$42*Hypotheses!$B$27</f>
        <v>17400</v>
      </c>
    </row>
    <row r="45" customFormat="false" ht="15" hidden="false" customHeight="true" outlineLevel="0" collapsed="false">
      <c r="A45" s="4" t="s">
        <v>37</v>
      </c>
      <c r="B45" s="5"/>
      <c r="C45" s="5"/>
      <c r="D45" s="5"/>
      <c r="E45" s="5"/>
      <c r="F45" s="5"/>
      <c r="G45" s="5"/>
    </row>
    <row r="46" customFormat="false" ht="15" hidden="false" customHeight="true" outlineLevel="0" collapsed="false">
      <c r="A46" s="10" t="s">
        <v>38</v>
      </c>
      <c r="B46" s="11" t="n">
        <v>40000</v>
      </c>
    </row>
    <row r="47" customFormat="false" ht="15" hidden="false" customHeight="true" outlineLevel="0" collapsed="false">
      <c r="A47" s="10" t="s">
        <v>39</v>
      </c>
      <c r="B47" s="11" t="n">
        <v>8000</v>
      </c>
    </row>
    <row r="49" customFormat="false" ht="15" hidden="false" customHeight="true" outlineLevel="0" collapsed="false">
      <c r="A49" s="4" t="s">
        <v>40</v>
      </c>
      <c r="B49" s="5"/>
      <c r="C49" s="5"/>
      <c r="D49" s="5"/>
      <c r="E49" s="5"/>
      <c r="F49" s="5"/>
      <c r="G49" s="5"/>
    </row>
    <row r="50" customFormat="false" ht="15" hidden="false" customHeight="true" outlineLevel="0" collapsed="false">
      <c r="A50" s="10" t="s">
        <v>41</v>
      </c>
      <c r="B50" s="16" t="n">
        <v>12</v>
      </c>
    </row>
    <row r="51" customFormat="false" ht="15" hidden="false" customHeight="true" outlineLevel="0" collapsed="false">
      <c r="A51" s="10" t="s">
        <v>42</v>
      </c>
      <c r="B51" s="12" t="n">
        <f aca="false">Hypotheses!$B$50*Hypotheses!$B$31</f>
        <v>6000</v>
      </c>
    </row>
    <row r="52" customFormat="false" ht="15" hidden="false" customHeight="true" outlineLevel="0" collapsed="false">
      <c r="A52" s="1" t="s">
        <v>43</v>
      </c>
    </row>
    <row r="54" customFormat="false" ht="15" hidden="false" customHeight="true" outlineLevel="0" collapsed="false">
      <c r="A54" s="4" t="s">
        <v>44</v>
      </c>
      <c r="B54" s="5"/>
      <c r="C54" s="5"/>
      <c r="D54" s="5"/>
      <c r="E54" s="5"/>
      <c r="F54" s="5"/>
      <c r="G54" s="5"/>
    </row>
    <row r="55" customFormat="false" ht="15" hidden="false" customHeight="true" outlineLevel="0" collapsed="false">
      <c r="A55" s="10" t="s">
        <v>45</v>
      </c>
      <c r="B55" s="12" t="n">
        <f aca="false">SUM(Couts!L2:L13)</f>
        <v>260153.673668014</v>
      </c>
    </row>
    <row r="58" customFormat="false" ht="15" hidden="false" customHeight="true" outlineLevel="0" collapsed="false">
      <c r="A58" s="4" t="s">
        <v>46</v>
      </c>
      <c r="B58" s="5"/>
      <c r="C58" s="5"/>
      <c r="D58" s="5"/>
      <c r="E58" s="5"/>
      <c r="F58" s="5"/>
      <c r="G58" s="5"/>
    </row>
    <row r="59" customFormat="false" ht="42" hidden="false" customHeight="true" outlineLevel="0" collapsed="false">
      <c r="A59" s="22" t="s">
        <v>47</v>
      </c>
      <c r="B59" s="22"/>
      <c r="C59" s="22"/>
      <c r="D59" s="22"/>
      <c r="E59" s="22"/>
      <c r="F59" s="22"/>
      <c r="G59" s="22"/>
    </row>
    <row r="61" customFormat="false" ht="15" hidden="false" customHeight="true" outlineLevel="0" collapsed="false">
      <c r="A61" s="10" t="s">
        <v>48</v>
      </c>
      <c r="B61" s="16" t="n">
        <v>11</v>
      </c>
    </row>
    <row r="62" customFormat="false" ht="15" hidden="false" customHeight="true" outlineLevel="0" collapsed="false">
      <c r="A62" s="10" t="s">
        <v>49</v>
      </c>
      <c r="B62" s="16" t="n">
        <v>2026</v>
      </c>
    </row>
    <row r="64" customFormat="false" ht="64.5" hidden="false" customHeight="true" outlineLevel="0" collapsed="false">
      <c r="A64" s="6" t="s">
        <v>50</v>
      </c>
      <c r="B64" s="6" t="s">
        <v>51</v>
      </c>
      <c r="C64" s="6" t="s">
        <v>52</v>
      </c>
      <c r="D64" s="6" t="s">
        <v>53</v>
      </c>
    </row>
    <row r="65" customFormat="false" ht="53.25" hidden="false" customHeight="true" outlineLevel="0" collapsed="false">
      <c r="A65" s="14" t="s">
        <v>54</v>
      </c>
      <c r="B65" s="14" t="n">
        <v>1</v>
      </c>
      <c r="C65" s="23" t="n">
        <v>0.1</v>
      </c>
      <c r="D65" s="24" t="s">
        <v>55</v>
      </c>
    </row>
    <row r="66" customFormat="false" ht="32.25" hidden="false" customHeight="true" outlineLevel="0" collapsed="false">
      <c r="A66" s="14" t="s">
        <v>56</v>
      </c>
      <c r="B66" s="14" t="n">
        <v>2</v>
      </c>
      <c r="C66" s="23" t="n">
        <v>-0.05</v>
      </c>
      <c r="D66" s="24" t="s">
        <v>57</v>
      </c>
    </row>
    <row r="67" customFormat="false" ht="53.25" hidden="false" customHeight="true" outlineLevel="0" collapsed="false">
      <c r="A67" s="14" t="s">
        <v>58</v>
      </c>
      <c r="B67" s="14" t="n">
        <v>3</v>
      </c>
      <c r="C67" s="23" t="n">
        <v>-0.05</v>
      </c>
      <c r="D67" s="24" t="s">
        <v>59</v>
      </c>
    </row>
    <row r="68" customFormat="false" ht="53.25" hidden="false" customHeight="true" outlineLevel="0" collapsed="false">
      <c r="A68" s="14" t="s">
        <v>60</v>
      </c>
      <c r="B68" s="14" t="n">
        <v>4</v>
      </c>
      <c r="C68" s="23" t="n">
        <v>0.05</v>
      </c>
      <c r="D68" s="24" t="s">
        <v>61</v>
      </c>
    </row>
    <row r="69" customFormat="false" ht="53.25" hidden="false" customHeight="true" outlineLevel="0" collapsed="false">
      <c r="A69" s="14" t="s">
        <v>62</v>
      </c>
      <c r="B69" s="14" t="n">
        <v>5</v>
      </c>
      <c r="C69" s="23" t="n">
        <v>0.05</v>
      </c>
      <c r="D69" s="24" t="s">
        <v>63</v>
      </c>
    </row>
    <row r="70" customFormat="false" ht="32.25" hidden="false" customHeight="true" outlineLevel="0" collapsed="false">
      <c r="A70" s="14" t="s">
        <v>64</v>
      </c>
      <c r="B70" s="14" t="n">
        <v>6</v>
      </c>
      <c r="C70" s="23" t="n">
        <v>0</v>
      </c>
      <c r="D70" s="24" t="s">
        <v>65</v>
      </c>
    </row>
    <row r="71" customFormat="false" ht="53.25" hidden="false" customHeight="true" outlineLevel="0" collapsed="false">
      <c r="A71" s="14" t="s">
        <v>66</v>
      </c>
      <c r="B71" s="14" t="n">
        <v>7</v>
      </c>
      <c r="C71" s="23" t="n">
        <v>0.15</v>
      </c>
      <c r="D71" s="24" t="s">
        <v>67</v>
      </c>
    </row>
    <row r="72" customFormat="false" ht="32.25" hidden="false" customHeight="true" outlineLevel="0" collapsed="false">
      <c r="A72" s="14" t="s">
        <v>68</v>
      </c>
      <c r="B72" s="14" t="n">
        <v>8</v>
      </c>
      <c r="C72" s="23" t="n">
        <v>0.15</v>
      </c>
      <c r="D72" s="24" t="s">
        <v>69</v>
      </c>
    </row>
    <row r="73" customFormat="false" ht="42.75" hidden="false" customHeight="true" outlineLevel="0" collapsed="false">
      <c r="A73" s="14" t="s">
        <v>70</v>
      </c>
      <c r="B73" s="14" t="n">
        <v>9</v>
      </c>
      <c r="C73" s="23" t="n">
        <v>-0.05</v>
      </c>
      <c r="D73" s="24" t="s">
        <v>71</v>
      </c>
    </row>
    <row r="74" customFormat="false" ht="53.25" hidden="false" customHeight="true" outlineLevel="0" collapsed="false">
      <c r="A74" s="14" t="s">
        <v>72</v>
      </c>
      <c r="B74" s="14" t="n">
        <v>10</v>
      </c>
      <c r="C74" s="23" t="n">
        <v>0</v>
      </c>
      <c r="D74" s="24" t="s">
        <v>65</v>
      </c>
    </row>
    <row r="75" customFormat="false" ht="32.25" hidden="false" customHeight="true" outlineLevel="0" collapsed="false">
      <c r="A75" s="14" t="s">
        <v>73</v>
      </c>
      <c r="B75" s="14" t="n">
        <v>11</v>
      </c>
      <c r="C75" s="23" t="n">
        <v>0</v>
      </c>
      <c r="D75" s="24" t="s">
        <v>65</v>
      </c>
    </row>
    <row r="76" customFormat="false" ht="53.25" hidden="false" customHeight="true" outlineLevel="0" collapsed="false">
      <c r="A76" s="14" t="s">
        <v>74</v>
      </c>
      <c r="B76" s="14" t="n">
        <v>12</v>
      </c>
      <c r="C76" s="23" t="n">
        <v>0.25</v>
      </c>
      <c r="D76" s="24" t="s">
        <v>75</v>
      </c>
    </row>
    <row r="77" customFormat="false" ht="15" hidden="false" customHeight="true" outlineLevel="0" collapsed="false">
      <c r="A77" s="25" t="s">
        <v>76</v>
      </c>
      <c r="B77" s="25"/>
      <c r="C77" s="25"/>
      <c r="D77" s="25"/>
      <c r="E77" s="25"/>
      <c r="F77" s="25"/>
      <c r="G77" s="25"/>
    </row>
    <row r="78" customFormat="false" ht="15" hidden="false" customHeight="true" outlineLevel="0" collapsed="false">
      <c r="A78" s="4" t="s">
        <v>77</v>
      </c>
      <c r="B78" s="5"/>
      <c r="C78" s="5"/>
      <c r="D78" s="5"/>
      <c r="E78" s="5"/>
      <c r="F78" s="5"/>
      <c r="G78" s="5"/>
    </row>
    <row r="79" customFormat="false" ht="15" hidden="false" customHeight="true" outlineLevel="0" collapsed="false">
      <c r="A79" s="10" t="s">
        <v>78</v>
      </c>
      <c r="B79" s="15" t="n">
        <v>0.85</v>
      </c>
    </row>
    <row r="80" customFormat="false" ht="15" hidden="false" customHeight="true" outlineLevel="0" collapsed="false">
      <c r="A80" s="10" t="s">
        <v>79</v>
      </c>
      <c r="B80" s="15" t="n">
        <v>0.9</v>
      </c>
    </row>
    <row r="82" customFormat="false" ht="15" hidden="false" customHeight="false" outlineLevel="0" collapsed="false">
      <c r="A82" s="26" t="s">
        <v>80</v>
      </c>
      <c r="B82" s="26"/>
      <c r="C82" s="26"/>
      <c r="D82" s="26"/>
      <c r="E82" s="26"/>
      <c r="F82" s="26"/>
      <c r="G82" s="26"/>
    </row>
    <row r="83" customFormat="false" ht="15" hidden="false" customHeight="false" outlineLevel="0" collapsed="false">
      <c r="A83" s="27" t="s">
        <v>81</v>
      </c>
      <c r="B83" s="28" t="n">
        <v>15</v>
      </c>
    </row>
    <row r="84" customFormat="false" ht="15" hidden="false" customHeight="false" outlineLevel="0" collapsed="false">
      <c r="A84" s="27" t="s">
        <v>82</v>
      </c>
      <c r="B84" s="28" t="n">
        <v>5</v>
      </c>
    </row>
    <row r="85" customFormat="false" ht="15" hidden="false" customHeight="false" outlineLevel="0" collapsed="false">
      <c r="A85" s="27" t="s">
        <v>83</v>
      </c>
      <c r="B85" s="28" t="n">
        <v>8</v>
      </c>
    </row>
    <row r="86" customFormat="false" ht="15" hidden="false" customHeight="false" outlineLevel="0" collapsed="false">
      <c r="A86" s="27" t="s">
        <v>84</v>
      </c>
      <c r="B86" s="28" t="n">
        <v>10</v>
      </c>
    </row>
    <row r="87" customFormat="false" ht="15" hidden="false" customHeight="false" outlineLevel="0" collapsed="false">
      <c r="A87" s="27" t="s">
        <v>85</v>
      </c>
      <c r="B87" s="29" t="n">
        <v>500</v>
      </c>
    </row>
    <row r="88" customFormat="false" ht="15" hidden="false" customHeight="false" outlineLevel="0" collapsed="false">
      <c r="A88" s="27" t="s">
        <v>86</v>
      </c>
      <c r="B88" s="30" t="n">
        <f aca="false">(Hypotheses!$B$83+Hypotheses!$B$84+Hypotheses!$B$85+Hypotheses!$B$86)*Hypotheses!$B$31+Hypotheses!$B$87</f>
        <v>19500</v>
      </c>
    </row>
    <row r="89" customFormat="false" ht="15" hidden="false" customHeight="false" outlineLevel="0" collapsed="false">
      <c r="A89" s="27" t="s">
        <v>87</v>
      </c>
      <c r="B89" s="31" t="n">
        <v>0.01</v>
      </c>
    </row>
    <row r="90" customFormat="false" ht="60" hidden="false" customHeight="true" outlineLevel="0" collapsed="false">
      <c r="A90" s="32" t="s">
        <v>88</v>
      </c>
      <c r="B90" s="32"/>
      <c r="C90" s="32"/>
      <c r="D90" s="32"/>
      <c r="E90" s="32"/>
      <c r="F90" s="32"/>
      <c r="G90" s="32"/>
    </row>
  </sheetData>
  <mergeCells count="4">
    <mergeCell ref="A23:G23"/>
    <mergeCell ref="A59:G59"/>
    <mergeCell ref="A77:G77"/>
    <mergeCell ref="A90:G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0"/>
    <col collapsed="false" customWidth="true" hidden="false" outlineLevel="0" max="3" min="3" style="1" width="8"/>
    <col collapsed="false" customWidth="true" hidden="false" outlineLevel="0" max="4" min="4" style="1" width="10"/>
    <col collapsed="false" customWidth="true" hidden="false" outlineLevel="0" max="5" min="5" style="1" width="14"/>
    <col collapsed="false" customWidth="true" hidden="false" outlineLevel="0" max="6" min="6" style="1" width="12"/>
    <col collapsed="false" customWidth="true" hidden="false" outlineLevel="0" max="7" min="7" style="1" width="16"/>
    <col collapsed="false" customWidth="true" hidden="false" outlineLevel="0" max="10" min="8" style="1" width="14"/>
    <col collapsed="false" customWidth="true" hidden="false" outlineLevel="0" max="11" min="11" style="1" width="18"/>
    <col collapsed="false" customWidth="true" hidden="false" outlineLevel="0" max="12" min="12" style="1" width="46"/>
  </cols>
  <sheetData>
    <row r="1" customFormat="false" ht="39" hidden="false" customHeight="true" outlineLevel="0" collapsed="false">
      <c r="A1" s="33" t="s">
        <v>3</v>
      </c>
      <c r="B1" s="33" t="s">
        <v>89</v>
      </c>
      <c r="C1" s="33" t="s">
        <v>90</v>
      </c>
      <c r="D1" s="33" t="s">
        <v>91</v>
      </c>
      <c r="E1" s="33" t="s">
        <v>50</v>
      </c>
      <c r="F1" s="33" t="s">
        <v>92</v>
      </c>
      <c r="G1" s="33" t="s">
        <v>93</v>
      </c>
      <c r="H1" s="33" t="s">
        <v>94</v>
      </c>
      <c r="I1" s="33" t="s">
        <v>95</v>
      </c>
      <c r="J1" s="33" t="s">
        <v>96</v>
      </c>
      <c r="K1" s="33" t="s">
        <v>97</v>
      </c>
      <c r="L1" s="33" t="s">
        <v>98</v>
      </c>
    </row>
    <row r="2" customFormat="false" ht="15" hidden="false" customHeight="true" outlineLevel="0" collapsed="false">
      <c r="A2" s="14" t="n">
        <v>1</v>
      </c>
      <c r="B2" s="14" t="n">
        <v>1</v>
      </c>
      <c r="C2" s="14" t="n">
        <f aca="false">Hypotheses!$B$62+INT((Hypotheses!$B$61-1+(A2-1))/12)</f>
        <v>2026</v>
      </c>
      <c r="D2" s="14" t="n">
        <f aca="false">MOD(Hypotheses!$B$61-1+(A2-1),12)+1</f>
        <v>11</v>
      </c>
      <c r="E2" s="14" t="str">
        <f aca="false">CHOOSE(D2,"Janvier","Février","Mars","Avril","Mai","Juin","Juillet","Août","Septembre","Octobre","Novembre","Décembre")</f>
        <v>Novembre</v>
      </c>
      <c r="F2" s="14" t="str">
        <f aca="false">IF(COUNTIF(Hypotheses!$A$6:$A$12,A2)&gt;0,"Jalon","Interpolé")</f>
        <v>Jalon</v>
      </c>
      <c r="G2" s="34"/>
      <c r="H2" s="35" t="n">
        <f aca="false">INDEX(Hypotheses!$C$65:$C$76,MATCH(D2,Hypotheses!$B$65:$B$76,0))</f>
        <v>0</v>
      </c>
      <c r="I2" s="34"/>
      <c r="J2" s="36"/>
      <c r="K2" s="37" t="n">
        <f aca="false">INDEX(Hypotheses!$C$6:$C$12,MATCH(A2,Hypotheses!$A$6:$A$12,0))</f>
        <v>15700</v>
      </c>
      <c r="L2" s="24" t="str">
        <f aca="false">"Point de repère fixé au TP1 (jalon) — valeur non recalculée"</f>
        <v>Point de repère fixé au TP1 (jalon) — valeur non recalculée</v>
      </c>
    </row>
    <row r="3" customFormat="false" ht="21.75" hidden="false" customHeight="true" outlineLevel="0" collapsed="false">
      <c r="A3" s="14" t="n">
        <v>2</v>
      </c>
      <c r="B3" s="14" t="n">
        <f aca="false">MATCH(A3-1,Hypotheses!$A$6:$A$12,1)</f>
        <v>1</v>
      </c>
      <c r="C3" s="14" t="n">
        <f aca="false">Hypotheses!$B$62+INT((Hypotheses!$B$61-1+(A3-1))/12)</f>
        <v>2026</v>
      </c>
      <c r="D3" s="14" t="n">
        <f aca="false">MOD(Hypotheses!$B$61-1+(A3-1),12)+1</f>
        <v>12</v>
      </c>
      <c r="E3" s="14" t="str">
        <f aca="false">CHOOSE(D3,"Janvier","Février","Mars","Avril","Mai","Juin","Juillet","Août","Septembre","Octobre","Novembre","Décembre")</f>
        <v>Décembre</v>
      </c>
      <c r="F3" s="14" t="str">
        <f aca="false">IF(COUNTIF(Hypotheses!$A$6:$A$12,A3)&gt;0,"Jalon","Interpolé")</f>
        <v>Interpolé</v>
      </c>
      <c r="G3" s="34" t="n">
        <f aca="false">(INDEX(Hypotheses!$C$6:$C$12,B3+1)-INDEX(Hypotheses!$C$6:$C$12,B3))/(INDEX(Hypotheses!$A$6:$A$12,B3+1)-INDEX(Hypotheses!$A$6:$A$12,B3))</f>
        <v>43060</v>
      </c>
      <c r="H3" s="35" t="n">
        <f aca="false">INDEX(Hypotheses!$C$65:$C$76,MATCH(D3,Hypotheses!$B$65:$B$76,0))</f>
        <v>0.25</v>
      </c>
      <c r="I3" s="34" t="n">
        <f aca="false">G3*(1+H3)</f>
        <v>53825</v>
      </c>
      <c r="J3" s="36" t="n">
        <f aca="false">(INDEX(Hypotheses!$C$6:$C$12,B3+1)-INDEX(Hypotheses!$C$6:$C$12,B3))/SUMIFS($I$2:$I$37,$B$2:$B$37,B3)</f>
        <v>0.943396226415094</v>
      </c>
      <c r="K3" s="37" t="n">
        <f aca="false">IF(F3="Jalon",INDEX(Hypotheses!$C$6:$C$12,MATCH(A3,Hypotheses!$A$6:$A$12,0)),K2+I3*J3)</f>
        <v>66478.3018867925</v>
      </c>
      <c r="L3" s="24" t="str">
        <f aca="false">IF(F3="Jalon","Point de repère fixé au TP1 (jalon) — valeur non recalculée","Indice "&amp;TEXT(H3,"+0%;-0%;0%")&amp;" en "&amp;E3&amp;" : "&amp;INDEX(Hypotheses!$D$65:$D$76,MATCH(D3,Hypotheses!$B$65:$B$76,0)))</f>
        <v>Indice +25% en Décembre : Forte hausse des achats alimentaires liée aux fêtes de fin d'année</v>
      </c>
    </row>
    <row r="4" customFormat="false" ht="21.75" hidden="false" customHeight="true" outlineLevel="0" collapsed="false">
      <c r="A4" s="14" t="n">
        <v>3</v>
      </c>
      <c r="B4" s="14" t="n">
        <f aca="false">MATCH(A4-1,Hypotheses!$A$6:$A$12,1)</f>
        <v>1</v>
      </c>
      <c r="C4" s="14" t="n">
        <f aca="false">Hypotheses!$B$62+INT((Hypotheses!$B$61-1+(A4-1))/12)</f>
        <v>2027</v>
      </c>
      <c r="D4" s="14" t="n">
        <f aca="false">MOD(Hypotheses!$B$61-1+(A4-1),12)+1</f>
        <v>1</v>
      </c>
      <c r="E4" s="14" t="str">
        <f aca="false">CHOOSE(D4,"Janvier","Février","Mars","Avril","Mai","Juin","Juillet","Août","Septembre","Octobre","Novembre","Décembre")</f>
        <v>Janvier</v>
      </c>
      <c r="F4" s="14" t="str">
        <f aca="false">IF(COUNTIF(Hypotheses!$A$6:$A$12,A4)&gt;0,"Jalon","Interpolé")</f>
        <v>Interpolé</v>
      </c>
      <c r="G4" s="34" t="n">
        <f aca="false">(INDEX(Hypotheses!$C$6:$C$12,B4+1)-INDEX(Hypotheses!$C$6:$C$12,B4))/(INDEX(Hypotheses!$A$6:$A$12,B4+1)-INDEX(Hypotheses!$A$6:$A$12,B4))</f>
        <v>43060</v>
      </c>
      <c r="H4" s="35" t="n">
        <f aca="false">INDEX(Hypotheses!$C$65:$C$76,MATCH(D4,Hypotheses!$B$65:$B$76,0))</f>
        <v>0.1</v>
      </c>
      <c r="I4" s="34" t="n">
        <f aca="false">G4*(1+H4)</f>
        <v>47366</v>
      </c>
      <c r="J4" s="36" t="n">
        <f aca="false">(INDEX(Hypotheses!$C$6:$C$12,B4+1)-INDEX(Hypotheses!$C$6:$C$12,B4))/SUMIFS($I$2:$I$37,$B$2:$B$37,B4)</f>
        <v>0.943396226415094</v>
      </c>
      <c r="K4" s="37" t="n">
        <f aca="false">IF(F4="Jalon",INDEX(Hypotheses!$C$6:$C$12,MATCH(A4,Hypotheses!$A$6:$A$12,0)),K3+I4*J4)</f>
        <v>111163.20754717</v>
      </c>
      <c r="L4" s="24" t="str">
        <f aca="false">IF(F4="Jalon","Point de repère fixé au TP1 (jalon) — valeur non recalculée","Indice "&amp;TEXT(H4,"+0%;-0%;0%")&amp;" en "&amp;E4&amp;" : "&amp;INDEX(Hypotheses!$D$65:$D$76,MATCH(D4,Hypotheses!$B$65:$B$76,0)))</f>
        <v>Indice +10% en Janvier : Hausse liée aux régimes et à la remise en forme après les fêtes</v>
      </c>
    </row>
    <row r="5" customFormat="false" ht="21.75" hidden="false" customHeight="true" outlineLevel="0" collapsed="false">
      <c r="A5" s="14" t="n">
        <v>4</v>
      </c>
      <c r="B5" s="14" t="n">
        <f aca="false">MATCH(A5-1,Hypotheses!$A$6:$A$12,1)</f>
        <v>1</v>
      </c>
      <c r="C5" s="14" t="n">
        <f aca="false">Hypotheses!$B$62+INT((Hypotheses!$B$61-1+(A5-1))/12)</f>
        <v>2027</v>
      </c>
      <c r="D5" s="14" t="n">
        <f aca="false">MOD(Hypotheses!$B$61-1+(A5-1),12)+1</f>
        <v>2</v>
      </c>
      <c r="E5" s="14" t="str">
        <f aca="false">CHOOSE(D5,"Janvier","Février","Mars","Avril","Mai","Juin","Juillet","Août","Septembre","Octobre","Novembre","Décembre")</f>
        <v>Février</v>
      </c>
      <c r="F5" s="14" t="str">
        <f aca="false">IF(COUNTIF(Hypotheses!$A$6:$A$12,A5)&gt;0,"Jalon","Interpolé")</f>
        <v>Interpolé</v>
      </c>
      <c r="G5" s="34" t="n">
        <f aca="false">(INDEX(Hypotheses!$C$6:$C$12,B5+1)-INDEX(Hypotheses!$C$6:$C$12,B5))/(INDEX(Hypotheses!$A$6:$A$12,B5+1)-INDEX(Hypotheses!$A$6:$A$12,B5))</f>
        <v>43060</v>
      </c>
      <c r="H5" s="35" t="n">
        <f aca="false">INDEX(Hypotheses!$C$65:$C$76,MATCH(D5,Hypotheses!$B$65:$B$76,0))</f>
        <v>-0.05</v>
      </c>
      <c r="I5" s="34" t="n">
        <f aca="false">G5*(1+H5)</f>
        <v>40907</v>
      </c>
      <c r="J5" s="36" t="n">
        <f aca="false">(INDEX(Hypotheses!$C$6:$C$12,B5+1)-INDEX(Hypotheses!$C$6:$C$12,B5))/SUMIFS($I$2:$I$37,$B$2:$B$37,B5)</f>
        <v>0.943396226415094</v>
      </c>
      <c r="K5" s="37" t="n">
        <f aca="false">IF(F5="Jalon",INDEX(Hypotheses!$C$6:$C$12,MATCH(A5,Hypotheses!$A$6:$A$12,0)),K4+I5*J5)</f>
        <v>149754.716981132</v>
      </c>
      <c r="L5" s="24" t="str">
        <f aca="false">IF(F5="Jalon","Point de repère fixé au TP1 (jalon) — valeur non recalculée","Indice "&amp;TEXT(H5,"+0%;-0%;0%")&amp;" en "&amp;E5&amp;" : "&amp;INDEX(Hypotheses!$D$65:$D$76,MATCH(D5,Hypotheses!$B$65:$B$76,0)))</f>
        <v>Indice -5% en Février : Consommation en retrait, creux hors période de fêtes</v>
      </c>
    </row>
    <row r="6" customFormat="false" ht="21.75" hidden="false" customHeight="true" outlineLevel="0" collapsed="false">
      <c r="A6" s="14" t="n">
        <v>5</v>
      </c>
      <c r="B6" s="14" t="n">
        <f aca="false">MATCH(A6-1,Hypotheses!$A$6:$A$12,1)</f>
        <v>1</v>
      </c>
      <c r="C6" s="14" t="n">
        <f aca="false">Hypotheses!$B$62+INT((Hypotheses!$B$61-1+(A6-1))/12)</f>
        <v>2027</v>
      </c>
      <c r="D6" s="14" t="n">
        <f aca="false">MOD(Hypotheses!$B$61-1+(A6-1),12)+1</f>
        <v>3</v>
      </c>
      <c r="E6" s="14" t="str">
        <f aca="false">CHOOSE(D6,"Janvier","Février","Mars","Avril","Mai","Juin","Juillet","Août","Septembre","Octobre","Novembre","Décembre")</f>
        <v>Mars</v>
      </c>
      <c r="F6" s="14" t="str">
        <f aca="false">IF(COUNTIF(Hypotheses!$A$6:$A$12,A6)&gt;0,"Jalon","Interpolé")</f>
        <v>Interpolé</v>
      </c>
      <c r="G6" s="34" t="n">
        <f aca="false">(INDEX(Hypotheses!$C$6:$C$12,B6+1)-INDEX(Hypotheses!$C$6:$C$12,B6))/(INDEX(Hypotheses!$A$6:$A$12,B6+1)-INDEX(Hypotheses!$A$6:$A$12,B6))</f>
        <v>43060</v>
      </c>
      <c r="H6" s="35" t="n">
        <f aca="false">INDEX(Hypotheses!$C$65:$C$76,MATCH(D6,Hypotheses!$B$65:$B$76,0))</f>
        <v>-0.05</v>
      </c>
      <c r="I6" s="34" t="n">
        <f aca="false">G6*(1+H6)</f>
        <v>40907</v>
      </c>
      <c r="J6" s="36" t="n">
        <f aca="false">(INDEX(Hypotheses!$C$6:$C$12,B6+1)-INDEX(Hypotheses!$C$6:$C$12,B6))/SUMIFS($I$2:$I$37,$B$2:$B$37,B6)</f>
        <v>0.943396226415094</v>
      </c>
      <c r="K6" s="37" t="n">
        <f aca="false">IF(F6="Jalon",INDEX(Hypotheses!$C$6:$C$12,MATCH(A6,Hypotheses!$A$6:$A$12,0)),K5+I6*J6)</f>
        <v>188346.226415094</v>
      </c>
      <c r="L6" s="24" t="str">
        <f aca="false">IF(F6="Jalon","Point de repère fixé au TP1 (jalon) — valeur non recalculée","Indice "&amp;TEXT(H6,"+0%;-0%;0%")&amp;" en "&amp;E6&amp;" : "&amp;INDEX(Hypotheses!$D$65:$D$76,MATCH(D6,Hypotheses!$B$65:$B$76,0)))</f>
        <v>Indice -5% en Mars : Consommation en retrait, avant la reprise liée à Pâques</v>
      </c>
    </row>
    <row r="7" customFormat="false" ht="15" hidden="false" customHeight="true" outlineLevel="0" collapsed="false">
      <c r="A7" s="14" t="n">
        <v>6</v>
      </c>
      <c r="B7" s="14" t="n">
        <f aca="false">MATCH(A7-1,Hypotheses!$A$6:$A$12,1)</f>
        <v>1</v>
      </c>
      <c r="C7" s="14" t="n">
        <f aca="false">Hypotheses!$B$62+INT((Hypotheses!$B$61-1+(A7-1))/12)</f>
        <v>2027</v>
      </c>
      <c r="D7" s="14" t="n">
        <f aca="false">MOD(Hypotheses!$B$61-1+(A7-1),12)+1</f>
        <v>4</v>
      </c>
      <c r="E7" s="14" t="str">
        <f aca="false">CHOOSE(D7,"Janvier","Février","Mars","Avril","Mai","Juin","Juillet","Août","Septembre","Octobre","Novembre","Décembre")</f>
        <v>Avril</v>
      </c>
      <c r="F7" s="14" t="str">
        <f aca="false">IF(COUNTIF(Hypotheses!$A$6:$A$12,A7)&gt;0,"Jalon","Interpolé")</f>
        <v>Jalon</v>
      </c>
      <c r="G7" s="34" t="n">
        <f aca="false">(INDEX(Hypotheses!$C$6:$C$12,B7+1)-INDEX(Hypotheses!$C$6:$C$12,B7))/(INDEX(Hypotheses!$A$6:$A$12,B7+1)-INDEX(Hypotheses!$A$6:$A$12,B7))</f>
        <v>43060</v>
      </c>
      <c r="H7" s="35" t="n">
        <f aca="false">INDEX(Hypotheses!$C$65:$C$76,MATCH(D7,Hypotheses!$B$65:$B$76,0))</f>
        <v>0.05</v>
      </c>
      <c r="I7" s="34" t="n">
        <f aca="false">G7*(1+H7)</f>
        <v>45213</v>
      </c>
      <c r="J7" s="36" t="n">
        <f aca="false">(INDEX(Hypotheses!$C$6:$C$12,B7+1)-INDEX(Hypotheses!$C$6:$C$12,B7))/SUMIFS($I$2:$I$37,$B$2:$B$37,B7)</f>
        <v>0.943396226415094</v>
      </c>
      <c r="K7" s="37" t="n">
        <f aca="false">IF(F7="Jalon",INDEX(Hypotheses!$C$6:$C$12,MATCH(A7,Hypotheses!$A$6:$A$12,0)),K6+I7*J7)</f>
        <v>231000</v>
      </c>
      <c r="L7" s="24" t="str">
        <f aca="false">IF(F7="Jalon","Point de repère fixé au TP1 (jalon) — valeur non recalculée","Indice "&amp;TEXT(H7,"+0%;-0%;0%")&amp;" en "&amp;E7&amp;" : "&amp;INDEX(Hypotheses!$D$65:$D$76,MATCH(D7,Hypotheses!$B$65:$B$76,0)))</f>
        <v>Point de repère fixé au TP1 (jalon) — valeur non recalculée</v>
      </c>
    </row>
    <row r="8" customFormat="false" ht="21.75" hidden="false" customHeight="true" outlineLevel="0" collapsed="false">
      <c r="A8" s="14" t="n">
        <v>7</v>
      </c>
      <c r="B8" s="14" t="n">
        <f aca="false">MATCH(A8-1,Hypotheses!$A$6:$A$12,1)</f>
        <v>2</v>
      </c>
      <c r="C8" s="14" t="n">
        <f aca="false">Hypotheses!$B$62+INT((Hypotheses!$B$61-1+(A8-1))/12)</f>
        <v>2027</v>
      </c>
      <c r="D8" s="14" t="n">
        <f aca="false">MOD(Hypotheses!$B$61-1+(A8-1),12)+1</f>
        <v>5</v>
      </c>
      <c r="E8" s="14" t="str">
        <f aca="false">CHOOSE(D8,"Janvier","Février","Mars","Avril","Mai","Juin","Juillet","Août","Septembre","Octobre","Novembre","Décembre")</f>
        <v>Mai</v>
      </c>
      <c r="F8" s="14" t="str">
        <f aca="false">IF(COUNTIF(Hypotheses!$A$6:$A$12,A8)&gt;0,"Jalon","Interpolé")</f>
        <v>Interpolé</v>
      </c>
      <c r="G8" s="34" t="n">
        <f aca="false">(INDEX(Hypotheses!$C$6:$C$12,B8+1)-INDEX(Hypotheses!$C$6:$C$12,B8))/(INDEX(Hypotheses!$A$6:$A$12,B8+1)-INDEX(Hypotheses!$A$6:$A$12,B8))</f>
        <v>70500</v>
      </c>
      <c r="H8" s="35" t="n">
        <f aca="false">INDEX(Hypotheses!$C$65:$C$76,MATCH(D8,Hypotheses!$B$65:$B$76,0))</f>
        <v>0.05</v>
      </c>
      <c r="I8" s="34" t="n">
        <f aca="false">G8*(1+H8)</f>
        <v>74025</v>
      </c>
      <c r="J8" s="36" t="n">
        <f aca="false">(INDEX(Hypotheses!$C$6:$C$12,B8+1)-INDEX(Hypotheses!$C$6:$C$12,B8))/SUMIFS($I$2:$I$37,$B$2:$B$37,B8)</f>
        <v>0.952380952380952</v>
      </c>
      <c r="K8" s="37" t="n">
        <f aca="false">IF(F8="Jalon",INDEX(Hypotheses!$C$6:$C$12,MATCH(A8,Hypotheses!$A$6:$A$12,0)),K7+I8*J8)</f>
        <v>301500</v>
      </c>
      <c r="L8" s="24" t="str">
        <f aca="false">IF(F8="Jalon","Point de repère fixé au TP1 (jalon) — valeur non recalculée","Indice "&amp;TEXT(H8,"+0%;-0%;0%")&amp;" en "&amp;E8&amp;" : "&amp;INDEX(Hypotheses!$D$65:$D$76,MATCH(D8,Hypotheses!$B$65:$B$76,0)))</f>
        <v>Indice +5% en Mai : Consommation légèrement supérieure à la moyenne annuelle</v>
      </c>
    </row>
    <row r="9" customFormat="false" ht="21.75" hidden="false" customHeight="true" outlineLevel="0" collapsed="false">
      <c r="A9" s="14" t="n">
        <v>8</v>
      </c>
      <c r="B9" s="14" t="n">
        <f aca="false">MATCH(A9-1,Hypotheses!$A$6:$A$12,1)</f>
        <v>2</v>
      </c>
      <c r="C9" s="14" t="n">
        <f aca="false">Hypotheses!$B$62+INT((Hypotheses!$B$61-1+(A9-1))/12)</f>
        <v>2027</v>
      </c>
      <c r="D9" s="14" t="n">
        <f aca="false">MOD(Hypotheses!$B$61-1+(A9-1),12)+1</f>
        <v>6</v>
      </c>
      <c r="E9" s="14" t="str">
        <f aca="false">CHOOSE(D9,"Janvier","Février","Mars","Avril","Mai","Juin","Juillet","Août","Septembre","Octobre","Novembre","Décembre")</f>
        <v>Juin</v>
      </c>
      <c r="F9" s="14" t="str">
        <f aca="false">IF(COUNTIF(Hypotheses!$A$6:$A$12,A9)&gt;0,"Jalon","Interpolé")</f>
        <v>Interpolé</v>
      </c>
      <c r="G9" s="34" t="n">
        <f aca="false">(INDEX(Hypotheses!$C$6:$C$12,B9+1)-INDEX(Hypotheses!$C$6:$C$12,B9))/(INDEX(Hypotheses!$A$6:$A$12,B9+1)-INDEX(Hypotheses!$A$6:$A$12,B9))</f>
        <v>70500</v>
      </c>
      <c r="H9" s="35" t="n">
        <f aca="false">INDEX(Hypotheses!$C$65:$C$76,MATCH(D9,Hypotheses!$B$65:$B$76,0))</f>
        <v>0</v>
      </c>
      <c r="I9" s="34" t="n">
        <f aca="false">G9*(1+H9)</f>
        <v>70500</v>
      </c>
      <c r="J9" s="36" t="n">
        <f aca="false">(INDEX(Hypotheses!$C$6:$C$12,B9+1)-INDEX(Hypotheses!$C$6:$C$12,B9))/SUMIFS($I$2:$I$37,$B$2:$B$37,B9)</f>
        <v>0.952380952380952</v>
      </c>
      <c r="K9" s="37" t="n">
        <f aca="false">IF(F9="Jalon",INDEX(Hypotheses!$C$6:$C$12,MATCH(A9,Hypotheses!$A$6:$A$12,0)),K8+I9*J9)</f>
        <v>368642.857142857</v>
      </c>
      <c r="L9" s="24" t="str">
        <f aca="false">IF(F9="Jalon","Point de repère fixé au TP1 (jalon) — valeur non recalculée","Indice "&amp;TEXT(H9,"+0%;-0%;0%")&amp;" en "&amp;E9&amp;" : "&amp;INDEX(Hypotheses!$D$65:$D$76,MATCH(D9,Hypotheses!$B$65:$B$76,0)))</f>
        <v>Indice 0% en Juin : Mois de référence (indice 100)</v>
      </c>
    </row>
    <row r="10" customFormat="false" ht="21.75" hidden="false" customHeight="true" outlineLevel="0" collapsed="false">
      <c r="A10" s="14" t="n">
        <v>9</v>
      </c>
      <c r="B10" s="14" t="n">
        <f aca="false">MATCH(A10-1,Hypotheses!$A$6:$A$12,1)</f>
        <v>2</v>
      </c>
      <c r="C10" s="14" t="n">
        <f aca="false">Hypotheses!$B$62+INT((Hypotheses!$B$61-1+(A10-1))/12)</f>
        <v>2027</v>
      </c>
      <c r="D10" s="14" t="n">
        <f aca="false">MOD(Hypotheses!$B$61-1+(A10-1),12)+1</f>
        <v>7</v>
      </c>
      <c r="E10" s="14" t="str">
        <f aca="false">CHOOSE(D10,"Janvier","Février","Mars","Avril","Mai","Juin","Juillet","Août","Septembre","Octobre","Novembre","Décembre")</f>
        <v>Juillet</v>
      </c>
      <c r="F10" s="14" t="str">
        <f aca="false">IF(COUNTIF(Hypotheses!$A$6:$A$12,A10)&gt;0,"Jalon","Interpolé")</f>
        <v>Interpolé</v>
      </c>
      <c r="G10" s="34" t="n">
        <f aca="false">(INDEX(Hypotheses!$C$6:$C$12,B10+1)-INDEX(Hypotheses!$C$6:$C$12,B10))/(INDEX(Hypotheses!$A$6:$A$12,B10+1)-INDEX(Hypotheses!$A$6:$A$12,B10))</f>
        <v>70500</v>
      </c>
      <c r="H10" s="35" t="n">
        <f aca="false">INDEX(Hypotheses!$C$65:$C$76,MATCH(D10,Hypotheses!$B$65:$B$76,0))</f>
        <v>0.15</v>
      </c>
      <c r="I10" s="34" t="n">
        <f aca="false">G10*(1+H10)</f>
        <v>81075</v>
      </c>
      <c r="J10" s="36" t="n">
        <f aca="false">(INDEX(Hypotheses!$C$6:$C$12,B10+1)-INDEX(Hypotheses!$C$6:$C$12,B10))/SUMIFS($I$2:$I$37,$B$2:$B$37,B10)</f>
        <v>0.952380952380952</v>
      </c>
      <c r="K10" s="37" t="n">
        <f aca="false">IF(F10="Jalon",INDEX(Hypotheses!$C$6:$C$12,MATCH(A10,Hypotheses!$A$6:$A$12,0)),K9+I10*J10)</f>
        <v>445857.142857143</v>
      </c>
      <c r="L10" s="24" t="str">
        <f aca="false">IF(F10="Jalon","Point de repère fixé au TP1 (jalon) — valeur non recalculée","Indice "&amp;TEXT(H10,"+0%;-0%;0%")&amp;" en "&amp;E10&amp;" : "&amp;INDEX(Hypotheses!$D$65:$D$76,MATCH(D10,Hypotheses!$B$65:$B$76,0)))</f>
        <v>Indice +15% en Juillet : Hausse des boissons, glaces et produits d'extérieur (grillades, pique-nique)</v>
      </c>
    </row>
    <row r="11" customFormat="false" ht="21.75" hidden="false" customHeight="true" outlineLevel="0" collapsed="false">
      <c r="A11" s="14" t="n">
        <v>10</v>
      </c>
      <c r="B11" s="14" t="n">
        <f aca="false">MATCH(A11-1,Hypotheses!$A$6:$A$12,1)</f>
        <v>2</v>
      </c>
      <c r="C11" s="14" t="n">
        <f aca="false">Hypotheses!$B$62+INT((Hypotheses!$B$61-1+(A11-1))/12)</f>
        <v>2027</v>
      </c>
      <c r="D11" s="14" t="n">
        <f aca="false">MOD(Hypotheses!$B$61-1+(A11-1),12)+1</f>
        <v>8</v>
      </c>
      <c r="E11" s="14" t="str">
        <f aca="false">CHOOSE(D11,"Janvier","Février","Mars","Avril","Mai","Juin","Juillet","Août","Septembre","Octobre","Novembre","Décembre")</f>
        <v>Août</v>
      </c>
      <c r="F11" s="14" t="str">
        <f aca="false">IF(COUNTIF(Hypotheses!$A$6:$A$12,A11)&gt;0,"Jalon","Interpolé")</f>
        <v>Interpolé</v>
      </c>
      <c r="G11" s="34" t="n">
        <f aca="false">(INDEX(Hypotheses!$C$6:$C$12,B11+1)-INDEX(Hypotheses!$C$6:$C$12,B11))/(INDEX(Hypotheses!$A$6:$A$12,B11+1)-INDEX(Hypotheses!$A$6:$A$12,B11))</f>
        <v>70500</v>
      </c>
      <c r="H11" s="35" t="n">
        <f aca="false">INDEX(Hypotheses!$C$65:$C$76,MATCH(D11,Hypotheses!$B$65:$B$76,0))</f>
        <v>0.15</v>
      </c>
      <c r="I11" s="34" t="n">
        <f aca="false">G11*(1+H11)</f>
        <v>81075</v>
      </c>
      <c r="J11" s="36" t="n">
        <f aca="false">(INDEX(Hypotheses!$C$6:$C$12,B11+1)-INDEX(Hypotheses!$C$6:$C$12,B11))/SUMIFS($I$2:$I$37,$B$2:$B$37,B11)</f>
        <v>0.952380952380952</v>
      </c>
      <c r="K11" s="37" t="n">
        <f aca="false">IF(F11="Jalon",INDEX(Hypotheses!$C$6:$C$12,MATCH(A11,Hypotheses!$A$6:$A$12,0)),K10+I11*J11)</f>
        <v>523071.428571429</v>
      </c>
      <c r="L11" s="24" t="str">
        <f aca="false">IF(F11="Jalon","Point de repère fixé au TP1 (jalon) — valeur non recalculée","Indice "&amp;TEXT(H11,"+0%;-0%;0%")&amp;" en "&amp;E11&amp;" : "&amp;INDEX(Hypotheses!$D$65:$D$76,MATCH(D11,Hypotheses!$B$65:$B$76,0)))</f>
        <v>Indice +15% en Août : Cœur des vacances d'été : boissons, glaces, produits d'extérieur</v>
      </c>
    </row>
    <row r="12" customFormat="false" ht="21.75" hidden="false" customHeight="true" outlineLevel="0" collapsed="false">
      <c r="A12" s="14" t="n">
        <v>11</v>
      </c>
      <c r="B12" s="14" t="n">
        <f aca="false">MATCH(A12-1,Hypotheses!$A$6:$A$12,1)</f>
        <v>2</v>
      </c>
      <c r="C12" s="14" t="n">
        <f aca="false">Hypotheses!$B$62+INT((Hypotheses!$B$61-1+(A12-1))/12)</f>
        <v>2027</v>
      </c>
      <c r="D12" s="14" t="n">
        <f aca="false">MOD(Hypotheses!$B$61-1+(A12-1),12)+1</f>
        <v>9</v>
      </c>
      <c r="E12" s="14" t="str">
        <f aca="false">CHOOSE(D12,"Janvier","Février","Mars","Avril","Mai","Juin","Juillet","Août","Septembre","Octobre","Novembre","Décembre")</f>
        <v>Septembre</v>
      </c>
      <c r="F12" s="14" t="str">
        <f aca="false">IF(COUNTIF(Hypotheses!$A$6:$A$12,A12)&gt;0,"Jalon","Interpolé")</f>
        <v>Interpolé</v>
      </c>
      <c r="G12" s="34" t="n">
        <f aca="false">(INDEX(Hypotheses!$C$6:$C$12,B12+1)-INDEX(Hypotheses!$C$6:$C$12,B12))/(INDEX(Hypotheses!$A$6:$A$12,B12+1)-INDEX(Hypotheses!$A$6:$A$12,B12))</f>
        <v>70500</v>
      </c>
      <c r="H12" s="35" t="n">
        <f aca="false">INDEX(Hypotheses!$C$65:$C$76,MATCH(D12,Hypotheses!$B$65:$B$76,0))</f>
        <v>-0.05</v>
      </c>
      <c r="I12" s="34" t="n">
        <f aca="false">G12*(1+H12)</f>
        <v>66975</v>
      </c>
      <c r="J12" s="36" t="n">
        <f aca="false">(INDEX(Hypotheses!$C$6:$C$12,B12+1)-INDEX(Hypotheses!$C$6:$C$12,B12))/SUMIFS($I$2:$I$37,$B$2:$B$37,B12)</f>
        <v>0.952380952380952</v>
      </c>
      <c r="K12" s="37" t="n">
        <f aca="false">IF(F12="Jalon",INDEX(Hypotheses!$C$6:$C$12,MATCH(A12,Hypotheses!$A$6:$A$12,0)),K11+I12*J12)</f>
        <v>586857.142857143</v>
      </c>
      <c r="L12" s="24" t="str">
        <f aca="false">IF(F12="Jalon","Point de repère fixé au TP1 (jalon) — valeur non recalculée","Indice "&amp;TEXT(H12,"+0%;-0%;0%")&amp;" en "&amp;E12&amp;" : "&amp;INDEX(Hypotheses!$D$65:$D$76,MATCH(D12,Hypotheses!$B$65:$B$76,0)))</f>
        <v>Indice -5% en Septembre : Rentrée : consommation en retrait par rapport à la moyenne annuelle</v>
      </c>
    </row>
    <row r="13" customFormat="false" ht="15" hidden="false" customHeight="true" outlineLevel="0" collapsed="false">
      <c r="A13" s="14" t="n">
        <v>12</v>
      </c>
      <c r="B13" s="14" t="n">
        <f aca="false">MATCH(A13-1,Hypotheses!$A$6:$A$12,1)</f>
        <v>2</v>
      </c>
      <c r="C13" s="14" t="n">
        <f aca="false">Hypotheses!$B$62+INT((Hypotheses!$B$61-1+(A13-1))/12)</f>
        <v>2027</v>
      </c>
      <c r="D13" s="14" t="n">
        <f aca="false">MOD(Hypotheses!$B$61-1+(A13-1),12)+1</f>
        <v>10</v>
      </c>
      <c r="E13" s="14" t="str">
        <f aca="false">CHOOSE(D13,"Janvier","Février","Mars","Avril","Mai","Juin","Juillet","Août","Septembre","Octobre","Novembre","Décembre")</f>
        <v>Octobre</v>
      </c>
      <c r="F13" s="14" t="str">
        <f aca="false">IF(COUNTIF(Hypotheses!$A$6:$A$12,A13)&gt;0,"Jalon","Interpolé")</f>
        <v>Jalon</v>
      </c>
      <c r="G13" s="34" t="n">
        <f aca="false">(INDEX(Hypotheses!$C$6:$C$12,B13+1)-INDEX(Hypotheses!$C$6:$C$12,B13))/(INDEX(Hypotheses!$A$6:$A$12,B13+1)-INDEX(Hypotheses!$A$6:$A$12,B13))</f>
        <v>70500</v>
      </c>
      <c r="H13" s="35" t="n">
        <f aca="false">INDEX(Hypotheses!$C$65:$C$76,MATCH(D13,Hypotheses!$B$65:$B$76,0))</f>
        <v>0</v>
      </c>
      <c r="I13" s="34" t="n">
        <f aca="false">G13*(1+H13)</f>
        <v>70500</v>
      </c>
      <c r="J13" s="36" t="n">
        <f aca="false">(INDEX(Hypotheses!$C$6:$C$12,B13+1)-INDEX(Hypotheses!$C$6:$C$12,B13))/SUMIFS($I$2:$I$37,$B$2:$B$37,B13)</f>
        <v>0.952380952380952</v>
      </c>
      <c r="K13" s="37" t="n">
        <f aca="false">IF(F13="Jalon",INDEX(Hypotheses!$C$6:$C$12,MATCH(A13,Hypotheses!$A$6:$A$12,0)),K12+I13*J13)</f>
        <v>654000</v>
      </c>
      <c r="L13" s="24" t="str">
        <f aca="false">IF(F13="Jalon","Point de repère fixé au TP1 (jalon) — valeur non recalculée","Indice "&amp;TEXT(H13,"+0%;-0%;0%")&amp;" en "&amp;E13&amp;" : "&amp;INDEX(Hypotheses!$D$65:$D$76,MATCH(D13,Hypotheses!$B$65:$B$76,0)))</f>
        <v>Point de repère fixé au TP1 (jalon) — valeur non recalculée</v>
      </c>
    </row>
    <row r="14" customFormat="false" ht="21.75" hidden="false" customHeight="true" outlineLevel="0" collapsed="false">
      <c r="A14" s="14" t="n">
        <v>13</v>
      </c>
      <c r="B14" s="14" t="n">
        <f aca="false">MATCH(A14-1,Hypotheses!$A$6:$A$12,1)</f>
        <v>3</v>
      </c>
      <c r="C14" s="14" t="n">
        <f aca="false">Hypotheses!$B$62+INT((Hypotheses!$B$61-1+(A14-1))/12)</f>
        <v>2027</v>
      </c>
      <c r="D14" s="14" t="n">
        <f aca="false">MOD(Hypotheses!$B$61-1+(A14-1),12)+1</f>
        <v>11</v>
      </c>
      <c r="E14" s="14" t="str">
        <f aca="false">CHOOSE(D14,"Janvier","Février","Mars","Avril","Mai","Juin","Juillet","Août","Septembre","Octobre","Novembre","Décembre")</f>
        <v>Novembre</v>
      </c>
      <c r="F14" s="14" t="str">
        <f aca="false">IF(COUNTIF(Hypotheses!$A$6:$A$12,A14)&gt;0,"Jalon","Interpolé")</f>
        <v>Interpolé</v>
      </c>
      <c r="G14" s="34" t="n">
        <f aca="false">(INDEX(Hypotheses!$C$6:$C$12,B14+1)-INDEX(Hypotheses!$C$6:$C$12,B14))/(INDEX(Hypotheses!$A$6:$A$12,B14+1)-INDEX(Hypotheses!$A$6:$A$12,B14))</f>
        <v>91333.3333333333</v>
      </c>
      <c r="H14" s="35" t="n">
        <f aca="false">INDEX(Hypotheses!$C$65:$C$76,MATCH(D14,Hypotheses!$B$65:$B$76,0))</f>
        <v>0</v>
      </c>
      <c r="I14" s="34" t="n">
        <f aca="false">G14*(1+H14)</f>
        <v>91333.3333333333</v>
      </c>
      <c r="J14" s="36" t="n">
        <f aca="false">(INDEX(Hypotheses!$C$6:$C$12,B14+1)-INDEX(Hypotheses!$C$6:$C$12,B14))/SUMIFS($I$2:$I$37,$B$2:$B$37,B14)</f>
        <v>0.952380952380952</v>
      </c>
      <c r="K14" s="37" t="n">
        <f aca="false">IF(F14="Jalon",INDEX(Hypotheses!$C$6:$C$12,MATCH(A14,Hypotheses!$A$6:$A$12,0)),K13+I14*J14)</f>
        <v>740984.126984127</v>
      </c>
      <c r="L14" s="24" t="str">
        <f aca="false">IF(F14="Jalon","Point de repère fixé au TP1 (jalon) — valeur non recalculée","Indice "&amp;TEXT(H14,"+0%;-0%;0%")&amp;" en "&amp;E14&amp;" : "&amp;INDEX(Hypotheses!$D$65:$D$76,MATCH(D14,Hypotheses!$B$65:$B$76,0)))</f>
        <v>Indice 0% en Novembre : Mois de référence (indice 100)</v>
      </c>
    </row>
    <row r="15" customFormat="false" ht="21.75" hidden="false" customHeight="true" outlineLevel="0" collapsed="false">
      <c r="A15" s="14" t="n">
        <v>14</v>
      </c>
      <c r="B15" s="14" t="n">
        <f aca="false">MATCH(A15-1,Hypotheses!$A$6:$A$12,1)</f>
        <v>3</v>
      </c>
      <c r="C15" s="14" t="n">
        <f aca="false">Hypotheses!$B$62+INT((Hypotheses!$B$61-1+(A15-1))/12)</f>
        <v>2027</v>
      </c>
      <c r="D15" s="14" t="n">
        <f aca="false">MOD(Hypotheses!$B$61-1+(A15-1),12)+1</f>
        <v>12</v>
      </c>
      <c r="E15" s="14" t="str">
        <f aca="false">CHOOSE(D15,"Janvier","Février","Mars","Avril","Mai","Juin","Juillet","Août","Septembre","Octobre","Novembre","Décembre")</f>
        <v>Décembre</v>
      </c>
      <c r="F15" s="14" t="str">
        <f aca="false">IF(COUNTIF(Hypotheses!$A$6:$A$12,A15)&gt;0,"Jalon","Interpolé")</f>
        <v>Interpolé</v>
      </c>
      <c r="G15" s="34" t="n">
        <f aca="false">(INDEX(Hypotheses!$C$6:$C$12,B15+1)-INDEX(Hypotheses!$C$6:$C$12,B15))/(INDEX(Hypotheses!$A$6:$A$12,B15+1)-INDEX(Hypotheses!$A$6:$A$12,B15))</f>
        <v>91333.3333333333</v>
      </c>
      <c r="H15" s="35" t="n">
        <f aca="false">INDEX(Hypotheses!$C$65:$C$76,MATCH(D15,Hypotheses!$B$65:$B$76,0))</f>
        <v>0.25</v>
      </c>
      <c r="I15" s="34" t="n">
        <f aca="false">G15*(1+H15)</f>
        <v>114166.666666667</v>
      </c>
      <c r="J15" s="36" t="n">
        <f aca="false">(INDEX(Hypotheses!$C$6:$C$12,B15+1)-INDEX(Hypotheses!$C$6:$C$12,B15))/SUMIFS($I$2:$I$37,$B$2:$B$37,B15)</f>
        <v>0.952380952380952</v>
      </c>
      <c r="K15" s="37" t="n">
        <f aca="false">IF(F15="Jalon",INDEX(Hypotheses!$C$6:$C$12,MATCH(A15,Hypotheses!$A$6:$A$12,0)),K14+I15*J15)</f>
        <v>849714.285714286</v>
      </c>
      <c r="L15" s="24" t="str">
        <f aca="false">IF(F15="Jalon","Point de repère fixé au TP1 (jalon) — valeur non recalculée","Indice "&amp;TEXT(H15,"+0%;-0%;0%")&amp;" en "&amp;E15&amp;" : "&amp;INDEX(Hypotheses!$D$65:$D$76,MATCH(D15,Hypotheses!$B$65:$B$76,0)))</f>
        <v>Indice +25% en Décembre : Forte hausse des achats alimentaires liée aux fêtes de fin d'année</v>
      </c>
    </row>
    <row r="16" customFormat="false" ht="21.75" hidden="false" customHeight="true" outlineLevel="0" collapsed="false">
      <c r="A16" s="14" t="n">
        <v>15</v>
      </c>
      <c r="B16" s="14" t="n">
        <f aca="false">MATCH(A16-1,Hypotheses!$A$6:$A$12,1)</f>
        <v>3</v>
      </c>
      <c r="C16" s="14" t="n">
        <f aca="false">Hypotheses!$B$62+INT((Hypotheses!$B$61-1+(A16-1))/12)</f>
        <v>2028</v>
      </c>
      <c r="D16" s="14" t="n">
        <f aca="false">MOD(Hypotheses!$B$61-1+(A16-1),12)+1</f>
        <v>1</v>
      </c>
      <c r="E16" s="14" t="str">
        <f aca="false">CHOOSE(D16,"Janvier","Février","Mars","Avril","Mai","Juin","Juillet","Août","Septembre","Octobre","Novembre","Décembre")</f>
        <v>Janvier</v>
      </c>
      <c r="F16" s="14" t="str">
        <f aca="false">IF(COUNTIF(Hypotheses!$A$6:$A$12,A16)&gt;0,"Jalon","Interpolé")</f>
        <v>Interpolé</v>
      </c>
      <c r="G16" s="34" t="n">
        <f aca="false">(INDEX(Hypotheses!$C$6:$C$12,B16+1)-INDEX(Hypotheses!$C$6:$C$12,B16))/(INDEX(Hypotheses!$A$6:$A$12,B16+1)-INDEX(Hypotheses!$A$6:$A$12,B16))</f>
        <v>91333.3333333333</v>
      </c>
      <c r="H16" s="35" t="n">
        <f aca="false">INDEX(Hypotheses!$C$65:$C$76,MATCH(D16,Hypotheses!$B$65:$B$76,0))</f>
        <v>0.1</v>
      </c>
      <c r="I16" s="34" t="n">
        <f aca="false">G16*(1+H16)</f>
        <v>100466.666666667</v>
      </c>
      <c r="J16" s="36" t="n">
        <f aca="false">(INDEX(Hypotheses!$C$6:$C$12,B16+1)-INDEX(Hypotheses!$C$6:$C$12,B16))/SUMIFS($I$2:$I$37,$B$2:$B$37,B16)</f>
        <v>0.952380952380952</v>
      </c>
      <c r="K16" s="37" t="n">
        <f aca="false">IF(F16="Jalon",INDEX(Hypotheses!$C$6:$C$12,MATCH(A16,Hypotheses!$A$6:$A$12,0)),K15+I16*J16)</f>
        <v>945396.825396825</v>
      </c>
      <c r="L16" s="24" t="str">
        <f aca="false">IF(F16="Jalon","Point de repère fixé au TP1 (jalon) — valeur non recalculée","Indice "&amp;TEXT(H16,"+0%;-0%;0%")&amp;" en "&amp;E16&amp;" : "&amp;INDEX(Hypotheses!$D$65:$D$76,MATCH(D16,Hypotheses!$B$65:$B$76,0)))</f>
        <v>Indice +10% en Janvier : Hausse liée aux régimes et à la remise en forme après les fêtes</v>
      </c>
    </row>
    <row r="17" customFormat="false" ht="21.75" hidden="false" customHeight="true" outlineLevel="0" collapsed="false">
      <c r="A17" s="14" t="n">
        <v>16</v>
      </c>
      <c r="B17" s="14" t="n">
        <f aca="false">MATCH(A17-1,Hypotheses!$A$6:$A$12,1)</f>
        <v>3</v>
      </c>
      <c r="C17" s="14" t="n">
        <f aca="false">Hypotheses!$B$62+INT((Hypotheses!$B$61-1+(A17-1))/12)</f>
        <v>2028</v>
      </c>
      <c r="D17" s="14" t="n">
        <f aca="false">MOD(Hypotheses!$B$61-1+(A17-1),12)+1</f>
        <v>2</v>
      </c>
      <c r="E17" s="14" t="str">
        <f aca="false">CHOOSE(D17,"Janvier","Février","Mars","Avril","Mai","Juin","Juillet","Août","Septembre","Octobre","Novembre","Décembre")</f>
        <v>Février</v>
      </c>
      <c r="F17" s="14" t="str">
        <f aca="false">IF(COUNTIF(Hypotheses!$A$6:$A$12,A17)&gt;0,"Jalon","Interpolé")</f>
        <v>Interpolé</v>
      </c>
      <c r="G17" s="34" t="n">
        <f aca="false">(INDEX(Hypotheses!$C$6:$C$12,B17+1)-INDEX(Hypotheses!$C$6:$C$12,B17))/(INDEX(Hypotheses!$A$6:$A$12,B17+1)-INDEX(Hypotheses!$A$6:$A$12,B17))</f>
        <v>91333.3333333333</v>
      </c>
      <c r="H17" s="35" t="n">
        <f aca="false">INDEX(Hypotheses!$C$65:$C$76,MATCH(D17,Hypotheses!$B$65:$B$76,0))</f>
        <v>-0.05</v>
      </c>
      <c r="I17" s="34" t="n">
        <f aca="false">G17*(1+H17)</f>
        <v>86766.6666666667</v>
      </c>
      <c r="J17" s="36" t="n">
        <f aca="false">(INDEX(Hypotheses!$C$6:$C$12,B17+1)-INDEX(Hypotheses!$C$6:$C$12,B17))/SUMIFS($I$2:$I$37,$B$2:$B$37,B17)</f>
        <v>0.952380952380952</v>
      </c>
      <c r="K17" s="37" t="n">
        <f aca="false">IF(F17="Jalon",INDEX(Hypotheses!$C$6:$C$12,MATCH(A17,Hypotheses!$A$6:$A$12,0)),K16+I17*J17)</f>
        <v>1028031.74603175</v>
      </c>
      <c r="L17" s="24" t="str">
        <f aca="false">IF(F17="Jalon","Point de repère fixé au TP1 (jalon) — valeur non recalculée","Indice "&amp;TEXT(H17,"+0%;-0%;0%")&amp;" en "&amp;E17&amp;" : "&amp;INDEX(Hypotheses!$D$65:$D$76,MATCH(D17,Hypotheses!$B$65:$B$76,0)))</f>
        <v>Indice -5% en Février : Consommation en retrait, creux hors période de fêtes</v>
      </c>
    </row>
    <row r="18" customFormat="false" ht="21.75" hidden="false" customHeight="true" outlineLevel="0" collapsed="false">
      <c r="A18" s="14" t="n">
        <v>17</v>
      </c>
      <c r="B18" s="14" t="n">
        <f aca="false">MATCH(A18-1,Hypotheses!$A$6:$A$12,1)</f>
        <v>3</v>
      </c>
      <c r="C18" s="14" t="n">
        <f aca="false">Hypotheses!$B$62+INT((Hypotheses!$B$61-1+(A18-1))/12)</f>
        <v>2028</v>
      </c>
      <c r="D18" s="14" t="n">
        <f aca="false">MOD(Hypotheses!$B$61-1+(A18-1),12)+1</f>
        <v>3</v>
      </c>
      <c r="E18" s="14" t="str">
        <f aca="false">CHOOSE(D18,"Janvier","Février","Mars","Avril","Mai","Juin","Juillet","Août","Septembre","Octobre","Novembre","Décembre")</f>
        <v>Mars</v>
      </c>
      <c r="F18" s="14" t="str">
        <f aca="false">IF(COUNTIF(Hypotheses!$A$6:$A$12,A18)&gt;0,"Jalon","Interpolé")</f>
        <v>Interpolé</v>
      </c>
      <c r="G18" s="34" t="n">
        <f aca="false">(INDEX(Hypotheses!$C$6:$C$12,B18+1)-INDEX(Hypotheses!$C$6:$C$12,B18))/(INDEX(Hypotheses!$A$6:$A$12,B18+1)-INDEX(Hypotheses!$A$6:$A$12,B18))</f>
        <v>91333.3333333333</v>
      </c>
      <c r="H18" s="35" t="n">
        <f aca="false">INDEX(Hypotheses!$C$65:$C$76,MATCH(D18,Hypotheses!$B$65:$B$76,0))</f>
        <v>-0.05</v>
      </c>
      <c r="I18" s="34" t="n">
        <f aca="false">G18*(1+H18)</f>
        <v>86766.6666666667</v>
      </c>
      <c r="J18" s="36" t="n">
        <f aca="false">(INDEX(Hypotheses!$C$6:$C$12,B18+1)-INDEX(Hypotheses!$C$6:$C$12,B18))/SUMIFS($I$2:$I$37,$B$2:$B$37,B18)</f>
        <v>0.952380952380952</v>
      </c>
      <c r="K18" s="37" t="n">
        <f aca="false">IF(F18="Jalon",INDEX(Hypotheses!$C$6:$C$12,MATCH(A18,Hypotheses!$A$6:$A$12,0)),K17+I18*J18)</f>
        <v>1110666.66666667</v>
      </c>
      <c r="L18" s="24" t="str">
        <f aca="false">IF(F18="Jalon","Point de repère fixé au TP1 (jalon) — valeur non recalculée","Indice "&amp;TEXT(H18,"+0%;-0%;0%")&amp;" en "&amp;E18&amp;" : "&amp;INDEX(Hypotheses!$D$65:$D$76,MATCH(D18,Hypotheses!$B$65:$B$76,0)))</f>
        <v>Indice -5% en Mars : Consommation en retrait, avant la reprise liée à Pâques</v>
      </c>
    </row>
    <row r="19" customFormat="false" ht="15" hidden="false" customHeight="true" outlineLevel="0" collapsed="false">
      <c r="A19" s="14" t="n">
        <v>18</v>
      </c>
      <c r="B19" s="14" t="n">
        <f aca="false">MATCH(A19-1,Hypotheses!$A$6:$A$12,1)</f>
        <v>3</v>
      </c>
      <c r="C19" s="14" t="n">
        <f aca="false">Hypotheses!$B$62+INT((Hypotheses!$B$61-1+(A19-1))/12)</f>
        <v>2028</v>
      </c>
      <c r="D19" s="14" t="n">
        <f aca="false">MOD(Hypotheses!$B$61-1+(A19-1),12)+1</f>
        <v>4</v>
      </c>
      <c r="E19" s="14" t="str">
        <f aca="false">CHOOSE(D19,"Janvier","Février","Mars","Avril","Mai","Juin","Juillet","Août","Septembre","Octobre","Novembre","Décembre")</f>
        <v>Avril</v>
      </c>
      <c r="F19" s="14" t="str">
        <f aca="false">IF(COUNTIF(Hypotheses!$A$6:$A$12,A19)&gt;0,"Jalon","Interpolé")</f>
        <v>Jalon</v>
      </c>
      <c r="G19" s="34" t="n">
        <f aca="false">(INDEX(Hypotheses!$C$6:$C$12,B19+1)-INDEX(Hypotheses!$C$6:$C$12,B19))/(INDEX(Hypotheses!$A$6:$A$12,B19+1)-INDEX(Hypotheses!$A$6:$A$12,B19))</f>
        <v>91333.3333333333</v>
      </c>
      <c r="H19" s="35" t="n">
        <f aca="false">INDEX(Hypotheses!$C$65:$C$76,MATCH(D19,Hypotheses!$B$65:$B$76,0))</f>
        <v>0.05</v>
      </c>
      <c r="I19" s="34" t="n">
        <f aca="false">G19*(1+H19)</f>
        <v>95900</v>
      </c>
      <c r="J19" s="36" t="n">
        <f aca="false">(INDEX(Hypotheses!$C$6:$C$12,B19+1)-INDEX(Hypotheses!$C$6:$C$12,B19))/SUMIFS($I$2:$I$37,$B$2:$B$37,B19)</f>
        <v>0.952380952380952</v>
      </c>
      <c r="K19" s="37" t="n">
        <f aca="false">IF(F19="Jalon",INDEX(Hypotheses!$C$6:$C$12,MATCH(A19,Hypotheses!$A$6:$A$12,0)),K18+I19*J19)</f>
        <v>1202000</v>
      </c>
      <c r="L19" s="24" t="str">
        <f aca="false">IF(F19="Jalon","Point de repère fixé au TP1 (jalon) — valeur non recalculée","Indice "&amp;TEXT(H19,"+0%;-0%;0%")&amp;" en "&amp;E19&amp;" : "&amp;INDEX(Hypotheses!$D$65:$D$76,MATCH(D19,Hypotheses!$B$65:$B$76,0)))</f>
        <v>Point de repère fixé au TP1 (jalon) — valeur non recalculée</v>
      </c>
    </row>
    <row r="20" customFormat="false" ht="21.75" hidden="false" customHeight="true" outlineLevel="0" collapsed="false">
      <c r="A20" s="14" t="n">
        <v>19</v>
      </c>
      <c r="B20" s="14" t="n">
        <f aca="false">MATCH(A20-1,Hypotheses!$A$6:$A$12,1)</f>
        <v>4</v>
      </c>
      <c r="C20" s="14" t="n">
        <f aca="false">Hypotheses!$B$62+INT((Hypotheses!$B$61-1+(A20-1))/12)</f>
        <v>2028</v>
      </c>
      <c r="D20" s="14" t="n">
        <f aca="false">MOD(Hypotheses!$B$61-1+(A20-1),12)+1</f>
        <v>5</v>
      </c>
      <c r="E20" s="14" t="str">
        <f aca="false">CHOOSE(D20,"Janvier","Février","Mars","Avril","Mai","Juin","Juillet","Août","Septembre","Octobre","Novembre","Décembre")</f>
        <v>Mai</v>
      </c>
      <c r="F20" s="14" t="str">
        <f aca="false">IF(COUNTIF(Hypotheses!$A$6:$A$12,A20)&gt;0,"Jalon","Interpolé")</f>
        <v>Interpolé</v>
      </c>
      <c r="G20" s="34" t="n">
        <f aca="false">(INDEX(Hypotheses!$C$6:$C$12,B20+1)-INDEX(Hypotheses!$C$6:$C$12,B20))/(INDEX(Hypotheses!$A$6:$A$12,B20+1)-INDEX(Hypotheses!$A$6:$A$12,B20))</f>
        <v>108000</v>
      </c>
      <c r="H20" s="35" t="n">
        <f aca="false">INDEX(Hypotheses!$C$65:$C$76,MATCH(D20,Hypotheses!$B$65:$B$76,0))</f>
        <v>0.05</v>
      </c>
      <c r="I20" s="34" t="n">
        <f aca="false">G20*(1+H20)</f>
        <v>113400</v>
      </c>
      <c r="J20" s="36" t="n">
        <f aca="false">(INDEX(Hypotheses!$C$6:$C$12,B20+1)-INDEX(Hypotheses!$C$6:$C$12,B20))/SUMIFS($I$2:$I$37,$B$2:$B$37,B20)</f>
        <v>0.952380952380952</v>
      </c>
      <c r="K20" s="37" t="n">
        <f aca="false">IF(F20="Jalon",INDEX(Hypotheses!$C$6:$C$12,MATCH(A20,Hypotheses!$A$6:$A$12,0)),K19+I20*J20)</f>
        <v>1310000</v>
      </c>
      <c r="L20" s="24" t="str">
        <f aca="false">IF(F20="Jalon","Point de repère fixé au TP1 (jalon) — valeur non recalculée","Indice "&amp;TEXT(H20,"+0%;-0%;0%")&amp;" en "&amp;E20&amp;" : "&amp;INDEX(Hypotheses!$D$65:$D$76,MATCH(D20,Hypotheses!$B$65:$B$76,0)))</f>
        <v>Indice +5% en Mai : Consommation légèrement supérieure à la moyenne annuelle</v>
      </c>
    </row>
    <row r="21" customFormat="false" ht="21.75" hidden="false" customHeight="true" outlineLevel="0" collapsed="false">
      <c r="A21" s="14" t="n">
        <v>20</v>
      </c>
      <c r="B21" s="14" t="n">
        <f aca="false">MATCH(A21-1,Hypotheses!$A$6:$A$12,1)</f>
        <v>4</v>
      </c>
      <c r="C21" s="14" t="n">
        <f aca="false">Hypotheses!$B$62+INT((Hypotheses!$B$61-1+(A21-1))/12)</f>
        <v>2028</v>
      </c>
      <c r="D21" s="14" t="n">
        <f aca="false">MOD(Hypotheses!$B$61-1+(A21-1),12)+1</f>
        <v>6</v>
      </c>
      <c r="E21" s="14" t="str">
        <f aca="false">CHOOSE(D21,"Janvier","Février","Mars","Avril","Mai","Juin","Juillet","Août","Septembre","Octobre","Novembre","Décembre")</f>
        <v>Juin</v>
      </c>
      <c r="F21" s="14" t="str">
        <f aca="false">IF(COUNTIF(Hypotheses!$A$6:$A$12,A21)&gt;0,"Jalon","Interpolé")</f>
        <v>Interpolé</v>
      </c>
      <c r="G21" s="34" t="n">
        <f aca="false">(INDEX(Hypotheses!$C$6:$C$12,B21+1)-INDEX(Hypotheses!$C$6:$C$12,B21))/(INDEX(Hypotheses!$A$6:$A$12,B21+1)-INDEX(Hypotheses!$A$6:$A$12,B21))</f>
        <v>108000</v>
      </c>
      <c r="H21" s="35" t="n">
        <f aca="false">INDEX(Hypotheses!$C$65:$C$76,MATCH(D21,Hypotheses!$B$65:$B$76,0))</f>
        <v>0</v>
      </c>
      <c r="I21" s="34" t="n">
        <f aca="false">G21*(1+H21)</f>
        <v>108000</v>
      </c>
      <c r="J21" s="36" t="n">
        <f aca="false">(INDEX(Hypotheses!$C$6:$C$12,B21+1)-INDEX(Hypotheses!$C$6:$C$12,B21))/SUMIFS($I$2:$I$37,$B$2:$B$37,B21)</f>
        <v>0.952380952380952</v>
      </c>
      <c r="K21" s="37" t="n">
        <f aca="false">IF(F21="Jalon",INDEX(Hypotheses!$C$6:$C$12,MATCH(A21,Hypotheses!$A$6:$A$12,0)),K20+I21*J21)</f>
        <v>1412857.14285714</v>
      </c>
      <c r="L21" s="24" t="str">
        <f aca="false">IF(F21="Jalon","Point de repère fixé au TP1 (jalon) — valeur non recalculée","Indice "&amp;TEXT(H21,"+0%;-0%;0%")&amp;" en "&amp;E21&amp;" : "&amp;INDEX(Hypotheses!$D$65:$D$76,MATCH(D21,Hypotheses!$B$65:$B$76,0)))</f>
        <v>Indice 0% en Juin : Mois de référence (indice 100)</v>
      </c>
    </row>
    <row r="22" customFormat="false" ht="21.75" hidden="false" customHeight="true" outlineLevel="0" collapsed="false">
      <c r="A22" s="14" t="n">
        <v>21</v>
      </c>
      <c r="B22" s="14" t="n">
        <f aca="false">MATCH(A22-1,Hypotheses!$A$6:$A$12,1)</f>
        <v>4</v>
      </c>
      <c r="C22" s="14" t="n">
        <f aca="false">Hypotheses!$B$62+INT((Hypotheses!$B$61-1+(A22-1))/12)</f>
        <v>2028</v>
      </c>
      <c r="D22" s="14" t="n">
        <f aca="false">MOD(Hypotheses!$B$61-1+(A22-1),12)+1</f>
        <v>7</v>
      </c>
      <c r="E22" s="14" t="str">
        <f aca="false">CHOOSE(D22,"Janvier","Février","Mars","Avril","Mai","Juin","Juillet","Août","Septembre","Octobre","Novembre","Décembre")</f>
        <v>Juillet</v>
      </c>
      <c r="F22" s="14" t="str">
        <f aca="false">IF(COUNTIF(Hypotheses!$A$6:$A$12,A22)&gt;0,"Jalon","Interpolé")</f>
        <v>Interpolé</v>
      </c>
      <c r="G22" s="34" t="n">
        <f aca="false">(INDEX(Hypotheses!$C$6:$C$12,B22+1)-INDEX(Hypotheses!$C$6:$C$12,B22))/(INDEX(Hypotheses!$A$6:$A$12,B22+1)-INDEX(Hypotheses!$A$6:$A$12,B22))</f>
        <v>108000</v>
      </c>
      <c r="H22" s="35" t="n">
        <f aca="false">INDEX(Hypotheses!$C$65:$C$76,MATCH(D22,Hypotheses!$B$65:$B$76,0))</f>
        <v>0.15</v>
      </c>
      <c r="I22" s="34" t="n">
        <f aca="false">G22*(1+H22)</f>
        <v>124200</v>
      </c>
      <c r="J22" s="36" t="n">
        <f aca="false">(INDEX(Hypotheses!$C$6:$C$12,B22+1)-INDEX(Hypotheses!$C$6:$C$12,B22))/SUMIFS($I$2:$I$37,$B$2:$B$37,B22)</f>
        <v>0.952380952380952</v>
      </c>
      <c r="K22" s="37" t="n">
        <f aca="false">IF(F22="Jalon",INDEX(Hypotheses!$C$6:$C$12,MATCH(A22,Hypotheses!$A$6:$A$12,0)),K21+I22*J22)</f>
        <v>1531142.85714286</v>
      </c>
      <c r="L22" s="24" t="str">
        <f aca="false">IF(F22="Jalon","Point de repère fixé au TP1 (jalon) — valeur non recalculée","Indice "&amp;TEXT(H22,"+0%;-0%;0%")&amp;" en "&amp;E22&amp;" : "&amp;INDEX(Hypotheses!$D$65:$D$76,MATCH(D22,Hypotheses!$B$65:$B$76,0)))</f>
        <v>Indice +15% en Juillet : Hausse des boissons, glaces et produits d'extérieur (grillades, pique-nique)</v>
      </c>
    </row>
    <row r="23" customFormat="false" ht="21.75" hidden="false" customHeight="true" outlineLevel="0" collapsed="false">
      <c r="A23" s="14" t="n">
        <v>22</v>
      </c>
      <c r="B23" s="14" t="n">
        <f aca="false">MATCH(A23-1,Hypotheses!$A$6:$A$12,1)</f>
        <v>4</v>
      </c>
      <c r="C23" s="14" t="n">
        <f aca="false">Hypotheses!$B$62+INT((Hypotheses!$B$61-1+(A23-1))/12)</f>
        <v>2028</v>
      </c>
      <c r="D23" s="14" t="n">
        <f aca="false">MOD(Hypotheses!$B$61-1+(A23-1),12)+1</f>
        <v>8</v>
      </c>
      <c r="E23" s="14" t="str">
        <f aca="false">CHOOSE(D23,"Janvier","Février","Mars","Avril","Mai","Juin","Juillet","Août","Septembre","Octobre","Novembre","Décembre")</f>
        <v>Août</v>
      </c>
      <c r="F23" s="14" t="str">
        <f aca="false">IF(COUNTIF(Hypotheses!$A$6:$A$12,A23)&gt;0,"Jalon","Interpolé")</f>
        <v>Interpolé</v>
      </c>
      <c r="G23" s="34" t="n">
        <f aca="false">(INDEX(Hypotheses!$C$6:$C$12,B23+1)-INDEX(Hypotheses!$C$6:$C$12,B23))/(INDEX(Hypotheses!$A$6:$A$12,B23+1)-INDEX(Hypotheses!$A$6:$A$12,B23))</f>
        <v>108000</v>
      </c>
      <c r="H23" s="35" t="n">
        <f aca="false">INDEX(Hypotheses!$C$65:$C$76,MATCH(D23,Hypotheses!$B$65:$B$76,0))</f>
        <v>0.15</v>
      </c>
      <c r="I23" s="34" t="n">
        <f aca="false">G23*(1+H23)</f>
        <v>124200</v>
      </c>
      <c r="J23" s="36" t="n">
        <f aca="false">(INDEX(Hypotheses!$C$6:$C$12,B23+1)-INDEX(Hypotheses!$C$6:$C$12,B23))/SUMIFS($I$2:$I$37,$B$2:$B$37,B23)</f>
        <v>0.952380952380952</v>
      </c>
      <c r="K23" s="37" t="n">
        <f aca="false">IF(F23="Jalon",INDEX(Hypotheses!$C$6:$C$12,MATCH(A23,Hypotheses!$A$6:$A$12,0)),K22+I23*J23)</f>
        <v>1649428.57142857</v>
      </c>
      <c r="L23" s="24" t="str">
        <f aca="false">IF(F23="Jalon","Point de repère fixé au TP1 (jalon) — valeur non recalculée","Indice "&amp;TEXT(H23,"+0%;-0%;0%")&amp;" en "&amp;E23&amp;" : "&amp;INDEX(Hypotheses!$D$65:$D$76,MATCH(D23,Hypotheses!$B$65:$B$76,0)))</f>
        <v>Indice +15% en Août : Cœur des vacances d'été : boissons, glaces, produits d'extérieur</v>
      </c>
    </row>
    <row r="24" customFormat="false" ht="21.75" hidden="false" customHeight="true" outlineLevel="0" collapsed="false">
      <c r="A24" s="14" t="n">
        <v>23</v>
      </c>
      <c r="B24" s="14" t="n">
        <f aca="false">MATCH(A24-1,Hypotheses!$A$6:$A$12,1)</f>
        <v>4</v>
      </c>
      <c r="C24" s="14" t="n">
        <f aca="false">Hypotheses!$B$62+INT((Hypotheses!$B$61-1+(A24-1))/12)</f>
        <v>2028</v>
      </c>
      <c r="D24" s="14" t="n">
        <f aca="false">MOD(Hypotheses!$B$61-1+(A24-1),12)+1</f>
        <v>9</v>
      </c>
      <c r="E24" s="14" t="str">
        <f aca="false">CHOOSE(D24,"Janvier","Février","Mars","Avril","Mai","Juin","Juillet","Août","Septembre","Octobre","Novembre","Décembre")</f>
        <v>Septembre</v>
      </c>
      <c r="F24" s="14" t="str">
        <f aca="false">IF(COUNTIF(Hypotheses!$A$6:$A$12,A24)&gt;0,"Jalon","Interpolé")</f>
        <v>Interpolé</v>
      </c>
      <c r="G24" s="34" t="n">
        <f aca="false">(INDEX(Hypotheses!$C$6:$C$12,B24+1)-INDEX(Hypotheses!$C$6:$C$12,B24))/(INDEX(Hypotheses!$A$6:$A$12,B24+1)-INDEX(Hypotheses!$A$6:$A$12,B24))</f>
        <v>108000</v>
      </c>
      <c r="H24" s="35" t="n">
        <f aca="false">INDEX(Hypotheses!$C$65:$C$76,MATCH(D24,Hypotheses!$B$65:$B$76,0))</f>
        <v>-0.05</v>
      </c>
      <c r="I24" s="34" t="n">
        <f aca="false">G24*(1+H24)</f>
        <v>102600</v>
      </c>
      <c r="J24" s="36" t="n">
        <f aca="false">(INDEX(Hypotheses!$C$6:$C$12,B24+1)-INDEX(Hypotheses!$C$6:$C$12,B24))/SUMIFS($I$2:$I$37,$B$2:$B$37,B24)</f>
        <v>0.952380952380952</v>
      </c>
      <c r="K24" s="37" t="n">
        <f aca="false">IF(F24="Jalon",INDEX(Hypotheses!$C$6:$C$12,MATCH(A24,Hypotheses!$A$6:$A$12,0)),K23+I24*J24)</f>
        <v>1747142.85714286</v>
      </c>
      <c r="L24" s="24" t="str">
        <f aca="false">IF(F24="Jalon","Point de repère fixé au TP1 (jalon) — valeur non recalculée","Indice "&amp;TEXT(H24,"+0%;-0%;0%")&amp;" en "&amp;E24&amp;" : "&amp;INDEX(Hypotheses!$D$65:$D$76,MATCH(D24,Hypotheses!$B$65:$B$76,0)))</f>
        <v>Indice -5% en Septembre : Rentrée : consommation en retrait par rapport à la moyenne annuelle</v>
      </c>
    </row>
    <row r="25" customFormat="false" ht="15" hidden="false" customHeight="true" outlineLevel="0" collapsed="false">
      <c r="A25" s="14" t="n">
        <v>24</v>
      </c>
      <c r="B25" s="14" t="n">
        <f aca="false">MATCH(A25-1,Hypotheses!$A$6:$A$12,1)</f>
        <v>4</v>
      </c>
      <c r="C25" s="14" t="n">
        <f aca="false">Hypotheses!$B$62+INT((Hypotheses!$B$61-1+(A25-1))/12)</f>
        <v>2028</v>
      </c>
      <c r="D25" s="14" t="n">
        <f aca="false">MOD(Hypotheses!$B$61-1+(A25-1),12)+1</f>
        <v>10</v>
      </c>
      <c r="E25" s="14" t="str">
        <f aca="false">CHOOSE(D25,"Janvier","Février","Mars","Avril","Mai","Juin","Juillet","Août","Septembre","Octobre","Novembre","Décembre")</f>
        <v>Octobre</v>
      </c>
      <c r="F25" s="14" t="str">
        <f aca="false">IF(COUNTIF(Hypotheses!$A$6:$A$12,A25)&gt;0,"Jalon","Interpolé")</f>
        <v>Jalon</v>
      </c>
      <c r="G25" s="34" t="n">
        <f aca="false">(INDEX(Hypotheses!$C$6:$C$12,B25+1)-INDEX(Hypotheses!$C$6:$C$12,B25))/(INDEX(Hypotheses!$A$6:$A$12,B25+1)-INDEX(Hypotheses!$A$6:$A$12,B25))</f>
        <v>108000</v>
      </c>
      <c r="H25" s="35" t="n">
        <f aca="false">INDEX(Hypotheses!$C$65:$C$76,MATCH(D25,Hypotheses!$B$65:$B$76,0))</f>
        <v>0</v>
      </c>
      <c r="I25" s="34" t="n">
        <f aca="false">G25*(1+H25)</f>
        <v>108000</v>
      </c>
      <c r="J25" s="36" t="n">
        <f aca="false">(INDEX(Hypotheses!$C$6:$C$12,B25+1)-INDEX(Hypotheses!$C$6:$C$12,B25))/SUMIFS($I$2:$I$37,$B$2:$B$37,B25)</f>
        <v>0.952380952380952</v>
      </c>
      <c r="K25" s="37" t="n">
        <f aca="false">IF(F25="Jalon",INDEX(Hypotheses!$C$6:$C$12,MATCH(A25,Hypotheses!$A$6:$A$12,0)),K24+I25*J25)</f>
        <v>1850000</v>
      </c>
      <c r="L25" s="24" t="str">
        <f aca="false">IF(F25="Jalon","Point de repère fixé au TP1 (jalon) — valeur non recalculée","Indice "&amp;TEXT(H25,"+0%;-0%;0%")&amp;" en "&amp;E25&amp;" : "&amp;INDEX(Hypotheses!$D$65:$D$76,MATCH(D25,Hypotheses!$B$65:$B$76,0)))</f>
        <v>Point de repère fixé au TP1 (jalon) — valeur non recalculée</v>
      </c>
    </row>
    <row r="26" customFormat="false" ht="21.75" hidden="false" customHeight="true" outlineLevel="0" collapsed="false">
      <c r="A26" s="14" t="n">
        <v>25</v>
      </c>
      <c r="B26" s="14" t="n">
        <f aca="false">MATCH(A26-1,Hypotheses!$A$6:$A$12,1)</f>
        <v>5</v>
      </c>
      <c r="C26" s="14" t="n">
        <f aca="false">Hypotheses!$B$62+INT((Hypotheses!$B$61-1+(A26-1))/12)</f>
        <v>2028</v>
      </c>
      <c r="D26" s="14" t="n">
        <f aca="false">MOD(Hypotheses!$B$61-1+(A26-1),12)+1</f>
        <v>11</v>
      </c>
      <c r="E26" s="14" t="str">
        <f aca="false">CHOOSE(D26,"Janvier","Février","Mars","Avril","Mai","Juin","Juillet","Août","Septembre","Octobre","Novembre","Décembre")</f>
        <v>Novembre</v>
      </c>
      <c r="F26" s="14" t="str">
        <f aca="false">IF(COUNTIF(Hypotheses!$A$6:$A$12,A26)&gt;0,"Jalon","Interpolé")</f>
        <v>Interpolé</v>
      </c>
      <c r="G26" s="34" t="n">
        <f aca="false">(INDEX(Hypotheses!$C$6:$C$12,B26+1)-INDEX(Hypotheses!$C$6:$C$12,B26))/(INDEX(Hypotheses!$A$6:$A$12,B26+1)-INDEX(Hypotheses!$A$6:$A$12,B26))</f>
        <v>122666.666666667</v>
      </c>
      <c r="H26" s="35" t="n">
        <f aca="false">INDEX(Hypotheses!$C$65:$C$76,MATCH(D26,Hypotheses!$B$65:$B$76,0))</f>
        <v>0</v>
      </c>
      <c r="I26" s="34" t="n">
        <f aca="false">G26*(1+H26)</f>
        <v>122666.666666667</v>
      </c>
      <c r="J26" s="36" t="n">
        <f aca="false">(INDEX(Hypotheses!$C$6:$C$12,B26+1)-INDEX(Hypotheses!$C$6:$C$12,B26))/SUMIFS($I$2:$I$37,$B$2:$B$37,B26)</f>
        <v>0.952380952380952</v>
      </c>
      <c r="K26" s="37" t="n">
        <f aca="false">IF(F26="Jalon",INDEX(Hypotheses!$C$6:$C$12,MATCH(A26,Hypotheses!$A$6:$A$12,0)),K25+I26*J26)</f>
        <v>1966825.3968254</v>
      </c>
      <c r="L26" s="24" t="str">
        <f aca="false">IF(F26="Jalon","Point de repère fixé au TP1 (jalon) — valeur non recalculée","Indice "&amp;TEXT(H26,"+0%;-0%;0%")&amp;" en "&amp;E26&amp;" : "&amp;INDEX(Hypotheses!$D$65:$D$76,MATCH(D26,Hypotheses!$B$65:$B$76,0)))</f>
        <v>Indice 0% en Novembre : Mois de référence (indice 100)</v>
      </c>
    </row>
    <row r="27" customFormat="false" ht="21.75" hidden="false" customHeight="true" outlineLevel="0" collapsed="false">
      <c r="A27" s="14" t="n">
        <v>26</v>
      </c>
      <c r="B27" s="14" t="n">
        <f aca="false">MATCH(A27-1,Hypotheses!$A$6:$A$12,1)</f>
        <v>5</v>
      </c>
      <c r="C27" s="14" t="n">
        <f aca="false">Hypotheses!$B$62+INT((Hypotheses!$B$61-1+(A27-1))/12)</f>
        <v>2028</v>
      </c>
      <c r="D27" s="14" t="n">
        <f aca="false">MOD(Hypotheses!$B$61-1+(A27-1),12)+1</f>
        <v>12</v>
      </c>
      <c r="E27" s="14" t="str">
        <f aca="false">CHOOSE(D27,"Janvier","Février","Mars","Avril","Mai","Juin","Juillet","Août","Septembre","Octobre","Novembre","Décembre")</f>
        <v>Décembre</v>
      </c>
      <c r="F27" s="14" t="str">
        <f aca="false">IF(COUNTIF(Hypotheses!$A$6:$A$12,A27)&gt;0,"Jalon","Interpolé")</f>
        <v>Interpolé</v>
      </c>
      <c r="G27" s="34" t="n">
        <f aca="false">(INDEX(Hypotheses!$C$6:$C$12,B27+1)-INDEX(Hypotheses!$C$6:$C$12,B27))/(INDEX(Hypotheses!$A$6:$A$12,B27+1)-INDEX(Hypotheses!$A$6:$A$12,B27))</f>
        <v>122666.666666667</v>
      </c>
      <c r="H27" s="35" t="n">
        <f aca="false">INDEX(Hypotheses!$C$65:$C$76,MATCH(D27,Hypotheses!$B$65:$B$76,0))</f>
        <v>0.25</v>
      </c>
      <c r="I27" s="34" t="n">
        <f aca="false">G27*(1+H27)</f>
        <v>153333.333333333</v>
      </c>
      <c r="J27" s="36" t="n">
        <f aca="false">(INDEX(Hypotheses!$C$6:$C$12,B27+1)-INDEX(Hypotheses!$C$6:$C$12,B27))/SUMIFS($I$2:$I$37,$B$2:$B$37,B27)</f>
        <v>0.952380952380952</v>
      </c>
      <c r="K27" s="37" t="n">
        <f aca="false">IF(F27="Jalon",INDEX(Hypotheses!$C$6:$C$12,MATCH(A27,Hypotheses!$A$6:$A$12,0)),K26+I27*J27)</f>
        <v>2112857.14285714</v>
      </c>
      <c r="L27" s="24" t="str">
        <f aca="false">IF(F27="Jalon","Point de repère fixé au TP1 (jalon) — valeur non recalculée","Indice "&amp;TEXT(H27,"+0%;-0%;0%")&amp;" en "&amp;E27&amp;" : "&amp;INDEX(Hypotheses!$D$65:$D$76,MATCH(D27,Hypotheses!$B$65:$B$76,0)))</f>
        <v>Indice +25% en Décembre : Forte hausse des achats alimentaires liée aux fêtes de fin d'année</v>
      </c>
    </row>
    <row r="28" customFormat="false" ht="21.75" hidden="false" customHeight="true" outlineLevel="0" collapsed="false">
      <c r="A28" s="14" t="n">
        <v>27</v>
      </c>
      <c r="B28" s="14" t="n">
        <f aca="false">MATCH(A28-1,Hypotheses!$A$6:$A$12,1)</f>
        <v>5</v>
      </c>
      <c r="C28" s="14" t="n">
        <f aca="false">Hypotheses!$B$62+INT((Hypotheses!$B$61-1+(A28-1))/12)</f>
        <v>2029</v>
      </c>
      <c r="D28" s="14" t="n">
        <f aca="false">MOD(Hypotheses!$B$61-1+(A28-1),12)+1</f>
        <v>1</v>
      </c>
      <c r="E28" s="14" t="str">
        <f aca="false">CHOOSE(D28,"Janvier","Février","Mars","Avril","Mai","Juin","Juillet","Août","Septembre","Octobre","Novembre","Décembre")</f>
        <v>Janvier</v>
      </c>
      <c r="F28" s="14" t="str">
        <f aca="false">IF(COUNTIF(Hypotheses!$A$6:$A$12,A28)&gt;0,"Jalon","Interpolé")</f>
        <v>Interpolé</v>
      </c>
      <c r="G28" s="34" t="n">
        <f aca="false">(INDEX(Hypotheses!$C$6:$C$12,B28+1)-INDEX(Hypotheses!$C$6:$C$12,B28))/(INDEX(Hypotheses!$A$6:$A$12,B28+1)-INDEX(Hypotheses!$A$6:$A$12,B28))</f>
        <v>122666.666666667</v>
      </c>
      <c r="H28" s="35" t="n">
        <f aca="false">INDEX(Hypotheses!$C$65:$C$76,MATCH(D28,Hypotheses!$B$65:$B$76,0))</f>
        <v>0.1</v>
      </c>
      <c r="I28" s="34" t="n">
        <f aca="false">G28*(1+H28)</f>
        <v>134933.333333333</v>
      </c>
      <c r="J28" s="36" t="n">
        <f aca="false">(INDEX(Hypotheses!$C$6:$C$12,B28+1)-INDEX(Hypotheses!$C$6:$C$12,B28))/SUMIFS($I$2:$I$37,$B$2:$B$37,B28)</f>
        <v>0.952380952380952</v>
      </c>
      <c r="K28" s="37" t="n">
        <f aca="false">IF(F28="Jalon",INDEX(Hypotheses!$C$6:$C$12,MATCH(A28,Hypotheses!$A$6:$A$12,0)),K27+I28*J28)</f>
        <v>2241365.07936508</v>
      </c>
      <c r="L28" s="24" t="str">
        <f aca="false">IF(F28="Jalon","Point de repère fixé au TP1 (jalon) — valeur non recalculée","Indice "&amp;TEXT(H28,"+0%;-0%;0%")&amp;" en "&amp;E28&amp;" : "&amp;INDEX(Hypotheses!$D$65:$D$76,MATCH(D28,Hypotheses!$B$65:$B$76,0)))</f>
        <v>Indice +10% en Janvier : Hausse liée aux régimes et à la remise en forme après les fêtes</v>
      </c>
    </row>
    <row r="29" customFormat="false" ht="21.75" hidden="false" customHeight="true" outlineLevel="0" collapsed="false">
      <c r="A29" s="14" t="n">
        <v>28</v>
      </c>
      <c r="B29" s="14" t="n">
        <f aca="false">MATCH(A29-1,Hypotheses!$A$6:$A$12,1)</f>
        <v>5</v>
      </c>
      <c r="C29" s="14" t="n">
        <f aca="false">Hypotheses!$B$62+INT((Hypotheses!$B$61-1+(A29-1))/12)</f>
        <v>2029</v>
      </c>
      <c r="D29" s="14" t="n">
        <f aca="false">MOD(Hypotheses!$B$61-1+(A29-1),12)+1</f>
        <v>2</v>
      </c>
      <c r="E29" s="14" t="str">
        <f aca="false">CHOOSE(D29,"Janvier","Février","Mars","Avril","Mai","Juin","Juillet","Août","Septembre","Octobre","Novembre","Décembre")</f>
        <v>Février</v>
      </c>
      <c r="F29" s="14" t="str">
        <f aca="false">IF(COUNTIF(Hypotheses!$A$6:$A$12,A29)&gt;0,"Jalon","Interpolé")</f>
        <v>Interpolé</v>
      </c>
      <c r="G29" s="34" t="n">
        <f aca="false">(INDEX(Hypotheses!$C$6:$C$12,B29+1)-INDEX(Hypotheses!$C$6:$C$12,B29))/(INDEX(Hypotheses!$A$6:$A$12,B29+1)-INDEX(Hypotheses!$A$6:$A$12,B29))</f>
        <v>122666.666666667</v>
      </c>
      <c r="H29" s="35" t="n">
        <f aca="false">INDEX(Hypotheses!$C$65:$C$76,MATCH(D29,Hypotheses!$B$65:$B$76,0))</f>
        <v>-0.05</v>
      </c>
      <c r="I29" s="34" t="n">
        <f aca="false">G29*(1+H29)</f>
        <v>116533.333333333</v>
      </c>
      <c r="J29" s="36" t="n">
        <f aca="false">(INDEX(Hypotheses!$C$6:$C$12,B29+1)-INDEX(Hypotheses!$C$6:$C$12,B29))/SUMIFS($I$2:$I$37,$B$2:$B$37,B29)</f>
        <v>0.952380952380952</v>
      </c>
      <c r="K29" s="37" t="n">
        <f aca="false">IF(F29="Jalon",INDEX(Hypotheses!$C$6:$C$12,MATCH(A29,Hypotheses!$A$6:$A$12,0)),K28+I29*J29)</f>
        <v>2352349.20634921</v>
      </c>
      <c r="L29" s="24" t="str">
        <f aca="false">IF(F29="Jalon","Point de repère fixé au TP1 (jalon) — valeur non recalculée","Indice "&amp;TEXT(H29,"+0%;-0%;0%")&amp;" en "&amp;E29&amp;" : "&amp;INDEX(Hypotheses!$D$65:$D$76,MATCH(D29,Hypotheses!$B$65:$B$76,0)))</f>
        <v>Indice -5% en Février : Consommation en retrait, creux hors période de fêtes</v>
      </c>
    </row>
    <row r="30" customFormat="false" ht="21.75" hidden="false" customHeight="true" outlineLevel="0" collapsed="false">
      <c r="A30" s="14" t="n">
        <v>29</v>
      </c>
      <c r="B30" s="14" t="n">
        <f aca="false">MATCH(A30-1,Hypotheses!$A$6:$A$12,1)</f>
        <v>5</v>
      </c>
      <c r="C30" s="14" t="n">
        <f aca="false">Hypotheses!$B$62+INT((Hypotheses!$B$61-1+(A30-1))/12)</f>
        <v>2029</v>
      </c>
      <c r="D30" s="14" t="n">
        <f aca="false">MOD(Hypotheses!$B$61-1+(A30-1),12)+1</f>
        <v>3</v>
      </c>
      <c r="E30" s="14" t="str">
        <f aca="false">CHOOSE(D30,"Janvier","Février","Mars","Avril","Mai","Juin","Juillet","Août","Septembre","Octobre","Novembre","Décembre")</f>
        <v>Mars</v>
      </c>
      <c r="F30" s="14" t="str">
        <f aca="false">IF(COUNTIF(Hypotheses!$A$6:$A$12,A30)&gt;0,"Jalon","Interpolé")</f>
        <v>Interpolé</v>
      </c>
      <c r="G30" s="34" t="n">
        <f aca="false">(INDEX(Hypotheses!$C$6:$C$12,B30+1)-INDEX(Hypotheses!$C$6:$C$12,B30))/(INDEX(Hypotheses!$A$6:$A$12,B30+1)-INDEX(Hypotheses!$A$6:$A$12,B30))</f>
        <v>122666.666666667</v>
      </c>
      <c r="H30" s="35" t="n">
        <f aca="false">INDEX(Hypotheses!$C$65:$C$76,MATCH(D30,Hypotheses!$B$65:$B$76,0))</f>
        <v>-0.05</v>
      </c>
      <c r="I30" s="34" t="n">
        <f aca="false">G30*(1+H30)</f>
        <v>116533.333333333</v>
      </c>
      <c r="J30" s="36" t="n">
        <f aca="false">(INDEX(Hypotheses!$C$6:$C$12,B30+1)-INDEX(Hypotheses!$C$6:$C$12,B30))/SUMIFS($I$2:$I$37,$B$2:$B$37,B30)</f>
        <v>0.952380952380952</v>
      </c>
      <c r="K30" s="37" t="n">
        <f aca="false">IF(F30="Jalon",INDEX(Hypotheses!$C$6:$C$12,MATCH(A30,Hypotheses!$A$6:$A$12,0)),K29+I30*J30)</f>
        <v>2463333.33333333</v>
      </c>
      <c r="L30" s="24" t="str">
        <f aca="false">IF(F30="Jalon","Point de repère fixé au TP1 (jalon) — valeur non recalculée","Indice "&amp;TEXT(H30,"+0%;-0%;0%")&amp;" en "&amp;E30&amp;" : "&amp;INDEX(Hypotheses!$D$65:$D$76,MATCH(D30,Hypotheses!$B$65:$B$76,0)))</f>
        <v>Indice -5% en Mars : Consommation en retrait, avant la reprise liée à Pâques</v>
      </c>
    </row>
    <row r="31" customFormat="false" ht="15" hidden="false" customHeight="true" outlineLevel="0" collapsed="false">
      <c r="A31" s="14" t="n">
        <v>30</v>
      </c>
      <c r="B31" s="14" t="n">
        <f aca="false">MATCH(A31-1,Hypotheses!$A$6:$A$12,1)</f>
        <v>5</v>
      </c>
      <c r="C31" s="14" t="n">
        <f aca="false">Hypotheses!$B$62+INT((Hypotheses!$B$61-1+(A31-1))/12)</f>
        <v>2029</v>
      </c>
      <c r="D31" s="14" t="n">
        <f aca="false">MOD(Hypotheses!$B$61-1+(A31-1),12)+1</f>
        <v>4</v>
      </c>
      <c r="E31" s="14" t="str">
        <f aca="false">CHOOSE(D31,"Janvier","Février","Mars","Avril","Mai","Juin","Juillet","Août","Septembre","Octobre","Novembre","Décembre")</f>
        <v>Avril</v>
      </c>
      <c r="F31" s="14" t="str">
        <f aca="false">IF(COUNTIF(Hypotheses!$A$6:$A$12,A31)&gt;0,"Jalon","Interpolé")</f>
        <v>Jalon</v>
      </c>
      <c r="G31" s="34" t="n">
        <f aca="false">(INDEX(Hypotheses!$C$6:$C$12,B31+1)-INDEX(Hypotheses!$C$6:$C$12,B31))/(INDEX(Hypotheses!$A$6:$A$12,B31+1)-INDEX(Hypotheses!$A$6:$A$12,B31))</f>
        <v>122666.666666667</v>
      </c>
      <c r="H31" s="35" t="n">
        <f aca="false">INDEX(Hypotheses!$C$65:$C$76,MATCH(D31,Hypotheses!$B$65:$B$76,0))</f>
        <v>0.05</v>
      </c>
      <c r="I31" s="34" t="n">
        <f aca="false">G31*(1+H31)</f>
        <v>128800</v>
      </c>
      <c r="J31" s="36" t="n">
        <f aca="false">(INDEX(Hypotheses!$C$6:$C$12,B31+1)-INDEX(Hypotheses!$C$6:$C$12,B31))/SUMIFS($I$2:$I$37,$B$2:$B$37,B31)</f>
        <v>0.952380952380952</v>
      </c>
      <c r="K31" s="37" t="n">
        <f aca="false">IF(F31="Jalon",INDEX(Hypotheses!$C$6:$C$12,MATCH(A31,Hypotheses!$A$6:$A$12,0)),K30+I31*J31)</f>
        <v>2586000</v>
      </c>
      <c r="L31" s="24" t="str">
        <f aca="false">IF(F31="Jalon","Point de repère fixé au TP1 (jalon) — valeur non recalculée","Indice "&amp;TEXT(H31,"+0%;-0%;0%")&amp;" en "&amp;E31&amp;" : "&amp;INDEX(Hypotheses!$D$65:$D$76,MATCH(D31,Hypotheses!$B$65:$B$76,0)))</f>
        <v>Point de repère fixé au TP1 (jalon) — valeur non recalculée</v>
      </c>
    </row>
    <row r="32" customFormat="false" ht="21.75" hidden="false" customHeight="true" outlineLevel="0" collapsed="false">
      <c r="A32" s="14" t="n">
        <v>31</v>
      </c>
      <c r="B32" s="14" t="n">
        <f aca="false">MATCH(A32-1,Hypotheses!$A$6:$A$12,1)</f>
        <v>6</v>
      </c>
      <c r="C32" s="14" t="n">
        <f aca="false">Hypotheses!$B$62+INT((Hypotheses!$B$61-1+(A32-1))/12)</f>
        <v>2029</v>
      </c>
      <c r="D32" s="14" t="n">
        <f aca="false">MOD(Hypotheses!$B$61-1+(A32-1),12)+1</f>
        <v>5</v>
      </c>
      <c r="E32" s="14" t="str">
        <f aca="false">CHOOSE(D32,"Janvier","Février","Mars","Avril","Mai","Juin","Juillet","Août","Septembre","Octobre","Novembre","Décembre")</f>
        <v>Mai</v>
      </c>
      <c r="F32" s="14" t="str">
        <f aca="false">IF(COUNTIF(Hypotheses!$A$6:$A$12,A32)&gt;0,"Jalon","Interpolé")</f>
        <v>Interpolé</v>
      </c>
      <c r="G32" s="34" t="n">
        <f aca="false">(INDEX(Hypotheses!$C$6:$C$12,B32+1)-INDEX(Hypotheses!$C$6:$C$12,B32))/(INDEX(Hypotheses!$A$6:$A$12,B32+1)-INDEX(Hypotheses!$A$6:$A$12,B32))</f>
        <v>135666.666666667</v>
      </c>
      <c r="H32" s="35" t="n">
        <f aca="false">INDEX(Hypotheses!$C$65:$C$76,MATCH(D32,Hypotheses!$B$65:$B$76,0))</f>
        <v>0.05</v>
      </c>
      <c r="I32" s="34" t="n">
        <f aca="false">G32*(1+H32)</f>
        <v>142450</v>
      </c>
      <c r="J32" s="36" t="n">
        <f aca="false">(INDEX(Hypotheses!$C$6:$C$12,B32+1)-INDEX(Hypotheses!$C$6:$C$12,B32))/SUMIFS($I$2:$I$37,$B$2:$B$37,B32)</f>
        <v>0.952380952380952</v>
      </c>
      <c r="K32" s="37" t="n">
        <f aca="false">IF(F32="Jalon",INDEX(Hypotheses!$C$6:$C$12,MATCH(A32,Hypotheses!$A$6:$A$12,0)),K31+I32*J32)</f>
        <v>2721666.66666667</v>
      </c>
      <c r="L32" s="24" t="str">
        <f aca="false">IF(F32="Jalon","Point de repère fixé au TP1 (jalon) — valeur non recalculée","Indice "&amp;TEXT(H32,"+0%;-0%;0%")&amp;" en "&amp;E32&amp;" : "&amp;INDEX(Hypotheses!$D$65:$D$76,MATCH(D32,Hypotheses!$B$65:$B$76,0)))</f>
        <v>Indice +5% en Mai : Consommation légèrement supérieure à la moyenne annuelle</v>
      </c>
    </row>
    <row r="33" customFormat="false" ht="21.75" hidden="false" customHeight="true" outlineLevel="0" collapsed="false">
      <c r="A33" s="14" t="n">
        <v>32</v>
      </c>
      <c r="B33" s="14" t="n">
        <f aca="false">MATCH(A33-1,Hypotheses!$A$6:$A$12,1)</f>
        <v>6</v>
      </c>
      <c r="C33" s="14" t="n">
        <f aca="false">Hypotheses!$B$62+INT((Hypotheses!$B$61-1+(A33-1))/12)</f>
        <v>2029</v>
      </c>
      <c r="D33" s="14" t="n">
        <f aca="false">MOD(Hypotheses!$B$61-1+(A33-1),12)+1</f>
        <v>6</v>
      </c>
      <c r="E33" s="14" t="str">
        <f aca="false">CHOOSE(D33,"Janvier","Février","Mars","Avril","Mai","Juin","Juillet","Août","Septembre","Octobre","Novembre","Décembre")</f>
        <v>Juin</v>
      </c>
      <c r="F33" s="14" t="str">
        <f aca="false">IF(COUNTIF(Hypotheses!$A$6:$A$12,A33)&gt;0,"Jalon","Interpolé")</f>
        <v>Interpolé</v>
      </c>
      <c r="G33" s="34" t="n">
        <f aca="false">(INDEX(Hypotheses!$C$6:$C$12,B33+1)-INDEX(Hypotheses!$C$6:$C$12,B33))/(INDEX(Hypotheses!$A$6:$A$12,B33+1)-INDEX(Hypotheses!$A$6:$A$12,B33))</f>
        <v>135666.666666667</v>
      </c>
      <c r="H33" s="35" t="n">
        <f aca="false">INDEX(Hypotheses!$C$65:$C$76,MATCH(D33,Hypotheses!$B$65:$B$76,0))</f>
        <v>0</v>
      </c>
      <c r="I33" s="34" t="n">
        <f aca="false">G33*(1+H33)</f>
        <v>135666.666666667</v>
      </c>
      <c r="J33" s="36" t="n">
        <f aca="false">(INDEX(Hypotheses!$C$6:$C$12,B33+1)-INDEX(Hypotheses!$C$6:$C$12,B33))/SUMIFS($I$2:$I$37,$B$2:$B$37,B33)</f>
        <v>0.952380952380952</v>
      </c>
      <c r="K33" s="37" t="n">
        <f aca="false">IF(F33="Jalon",INDEX(Hypotheses!$C$6:$C$12,MATCH(A33,Hypotheses!$A$6:$A$12,0)),K32+I33*J33)</f>
        <v>2850873.01587302</v>
      </c>
      <c r="L33" s="24" t="str">
        <f aca="false">IF(F33="Jalon","Point de repère fixé au TP1 (jalon) — valeur non recalculée","Indice "&amp;TEXT(H33,"+0%;-0%;0%")&amp;" en "&amp;E33&amp;" : "&amp;INDEX(Hypotheses!$D$65:$D$76,MATCH(D33,Hypotheses!$B$65:$B$76,0)))</f>
        <v>Indice 0% en Juin : Mois de référence (indice 100)</v>
      </c>
    </row>
    <row r="34" customFormat="false" ht="21.75" hidden="false" customHeight="true" outlineLevel="0" collapsed="false">
      <c r="A34" s="14" t="n">
        <v>33</v>
      </c>
      <c r="B34" s="14" t="n">
        <f aca="false">MATCH(A34-1,Hypotheses!$A$6:$A$12,1)</f>
        <v>6</v>
      </c>
      <c r="C34" s="14" t="n">
        <f aca="false">Hypotheses!$B$62+INT((Hypotheses!$B$61-1+(A34-1))/12)</f>
        <v>2029</v>
      </c>
      <c r="D34" s="14" t="n">
        <f aca="false">MOD(Hypotheses!$B$61-1+(A34-1),12)+1</f>
        <v>7</v>
      </c>
      <c r="E34" s="14" t="str">
        <f aca="false">CHOOSE(D34,"Janvier","Février","Mars","Avril","Mai","Juin","Juillet","Août","Septembre","Octobre","Novembre","Décembre")</f>
        <v>Juillet</v>
      </c>
      <c r="F34" s="14" t="str">
        <f aca="false">IF(COUNTIF(Hypotheses!$A$6:$A$12,A34)&gt;0,"Jalon","Interpolé")</f>
        <v>Interpolé</v>
      </c>
      <c r="G34" s="34" t="n">
        <f aca="false">(INDEX(Hypotheses!$C$6:$C$12,B34+1)-INDEX(Hypotheses!$C$6:$C$12,B34))/(INDEX(Hypotheses!$A$6:$A$12,B34+1)-INDEX(Hypotheses!$A$6:$A$12,B34))</f>
        <v>135666.666666667</v>
      </c>
      <c r="H34" s="35" t="n">
        <f aca="false">INDEX(Hypotheses!$C$65:$C$76,MATCH(D34,Hypotheses!$B$65:$B$76,0))</f>
        <v>0.15</v>
      </c>
      <c r="I34" s="34" t="n">
        <f aca="false">G34*(1+H34)</f>
        <v>156016.666666667</v>
      </c>
      <c r="J34" s="36" t="n">
        <f aca="false">(INDEX(Hypotheses!$C$6:$C$12,B34+1)-INDEX(Hypotheses!$C$6:$C$12,B34))/SUMIFS($I$2:$I$37,$B$2:$B$37,B34)</f>
        <v>0.952380952380952</v>
      </c>
      <c r="K34" s="37" t="n">
        <f aca="false">IF(F34="Jalon",INDEX(Hypotheses!$C$6:$C$12,MATCH(A34,Hypotheses!$A$6:$A$12,0)),K33+I34*J34)</f>
        <v>2999460.31746032</v>
      </c>
      <c r="L34" s="24" t="str">
        <f aca="false">IF(F34="Jalon","Point de repère fixé au TP1 (jalon) — valeur non recalculée","Indice "&amp;TEXT(H34,"+0%;-0%;0%")&amp;" en "&amp;E34&amp;" : "&amp;INDEX(Hypotheses!$D$65:$D$76,MATCH(D34,Hypotheses!$B$65:$B$76,0)))</f>
        <v>Indice +15% en Juillet : Hausse des boissons, glaces et produits d'extérieur (grillades, pique-nique)</v>
      </c>
    </row>
    <row r="35" customFormat="false" ht="21.75" hidden="false" customHeight="true" outlineLevel="0" collapsed="false">
      <c r="A35" s="14" t="n">
        <v>34</v>
      </c>
      <c r="B35" s="14" t="n">
        <f aca="false">MATCH(A35-1,Hypotheses!$A$6:$A$12,1)</f>
        <v>6</v>
      </c>
      <c r="C35" s="14" t="n">
        <f aca="false">Hypotheses!$B$62+INT((Hypotheses!$B$61-1+(A35-1))/12)</f>
        <v>2029</v>
      </c>
      <c r="D35" s="14" t="n">
        <f aca="false">MOD(Hypotheses!$B$61-1+(A35-1),12)+1</f>
        <v>8</v>
      </c>
      <c r="E35" s="14" t="str">
        <f aca="false">CHOOSE(D35,"Janvier","Février","Mars","Avril","Mai","Juin","Juillet","Août","Septembre","Octobre","Novembre","Décembre")</f>
        <v>Août</v>
      </c>
      <c r="F35" s="14" t="str">
        <f aca="false">IF(COUNTIF(Hypotheses!$A$6:$A$12,A35)&gt;0,"Jalon","Interpolé")</f>
        <v>Interpolé</v>
      </c>
      <c r="G35" s="34" t="n">
        <f aca="false">(INDEX(Hypotheses!$C$6:$C$12,B35+1)-INDEX(Hypotheses!$C$6:$C$12,B35))/(INDEX(Hypotheses!$A$6:$A$12,B35+1)-INDEX(Hypotheses!$A$6:$A$12,B35))</f>
        <v>135666.666666667</v>
      </c>
      <c r="H35" s="35" t="n">
        <f aca="false">INDEX(Hypotheses!$C$65:$C$76,MATCH(D35,Hypotheses!$B$65:$B$76,0))</f>
        <v>0.15</v>
      </c>
      <c r="I35" s="34" t="n">
        <f aca="false">G35*(1+H35)</f>
        <v>156016.666666667</v>
      </c>
      <c r="J35" s="36" t="n">
        <f aca="false">(INDEX(Hypotheses!$C$6:$C$12,B35+1)-INDEX(Hypotheses!$C$6:$C$12,B35))/SUMIFS($I$2:$I$37,$B$2:$B$37,B35)</f>
        <v>0.952380952380952</v>
      </c>
      <c r="K35" s="37" t="n">
        <f aca="false">IF(F35="Jalon",INDEX(Hypotheses!$C$6:$C$12,MATCH(A35,Hypotheses!$A$6:$A$12,0)),K34+I35*J35)</f>
        <v>3148047.61904762</v>
      </c>
      <c r="L35" s="24" t="str">
        <f aca="false">IF(F35="Jalon","Point de repère fixé au TP1 (jalon) — valeur non recalculée","Indice "&amp;TEXT(H35,"+0%;-0%;0%")&amp;" en "&amp;E35&amp;" : "&amp;INDEX(Hypotheses!$D$65:$D$76,MATCH(D35,Hypotheses!$B$65:$B$76,0)))</f>
        <v>Indice +15% en Août : Cœur des vacances d'été : boissons, glaces, produits d'extérieur</v>
      </c>
    </row>
    <row r="36" customFormat="false" ht="21.75" hidden="false" customHeight="true" outlineLevel="0" collapsed="false">
      <c r="A36" s="14" t="n">
        <v>35</v>
      </c>
      <c r="B36" s="14" t="n">
        <f aca="false">MATCH(A36-1,Hypotheses!$A$6:$A$12,1)</f>
        <v>6</v>
      </c>
      <c r="C36" s="14" t="n">
        <f aca="false">Hypotheses!$B$62+INT((Hypotheses!$B$61-1+(A36-1))/12)</f>
        <v>2029</v>
      </c>
      <c r="D36" s="14" t="n">
        <f aca="false">MOD(Hypotheses!$B$61-1+(A36-1),12)+1</f>
        <v>9</v>
      </c>
      <c r="E36" s="14" t="str">
        <f aca="false">CHOOSE(D36,"Janvier","Février","Mars","Avril","Mai","Juin","Juillet","Août","Septembre","Octobre","Novembre","Décembre")</f>
        <v>Septembre</v>
      </c>
      <c r="F36" s="14" t="str">
        <f aca="false">IF(COUNTIF(Hypotheses!$A$6:$A$12,A36)&gt;0,"Jalon","Interpolé")</f>
        <v>Interpolé</v>
      </c>
      <c r="G36" s="34" t="n">
        <f aca="false">(INDEX(Hypotheses!$C$6:$C$12,B36+1)-INDEX(Hypotheses!$C$6:$C$12,B36))/(INDEX(Hypotheses!$A$6:$A$12,B36+1)-INDEX(Hypotheses!$A$6:$A$12,B36))</f>
        <v>135666.666666667</v>
      </c>
      <c r="H36" s="35" t="n">
        <f aca="false">INDEX(Hypotheses!$C$65:$C$76,MATCH(D36,Hypotheses!$B$65:$B$76,0))</f>
        <v>-0.05</v>
      </c>
      <c r="I36" s="34" t="n">
        <f aca="false">G36*(1+H36)</f>
        <v>128883.333333333</v>
      </c>
      <c r="J36" s="36" t="n">
        <f aca="false">(INDEX(Hypotheses!$C$6:$C$12,B36+1)-INDEX(Hypotheses!$C$6:$C$12,B36))/SUMIFS($I$2:$I$37,$B$2:$B$37,B36)</f>
        <v>0.952380952380952</v>
      </c>
      <c r="K36" s="37" t="n">
        <f aca="false">IF(F36="Jalon",INDEX(Hypotheses!$C$6:$C$12,MATCH(A36,Hypotheses!$A$6:$A$12,0)),K35+I36*J36)</f>
        <v>3270793.65079365</v>
      </c>
      <c r="L36" s="24" t="str">
        <f aca="false">IF(F36="Jalon","Point de repère fixé au TP1 (jalon) — valeur non recalculée","Indice "&amp;TEXT(H36,"+0%;-0%;0%")&amp;" en "&amp;E36&amp;" : "&amp;INDEX(Hypotheses!$D$65:$D$76,MATCH(D36,Hypotheses!$B$65:$B$76,0)))</f>
        <v>Indice -5% en Septembre : Rentrée : consommation en retrait par rapport à la moyenne annuelle</v>
      </c>
    </row>
    <row r="37" customFormat="false" ht="15" hidden="false" customHeight="true" outlineLevel="0" collapsed="false">
      <c r="A37" s="14" t="n">
        <v>36</v>
      </c>
      <c r="B37" s="14" t="n">
        <f aca="false">MATCH(A37-1,Hypotheses!$A$6:$A$12,1)</f>
        <v>6</v>
      </c>
      <c r="C37" s="14" t="n">
        <f aca="false">Hypotheses!$B$62+INT((Hypotheses!$B$61-1+(A37-1))/12)</f>
        <v>2029</v>
      </c>
      <c r="D37" s="14" t="n">
        <f aca="false">MOD(Hypotheses!$B$61-1+(A37-1),12)+1</f>
        <v>10</v>
      </c>
      <c r="E37" s="14" t="str">
        <f aca="false">CHOOSE(D37,"Janvier","Février","Mars","Avril","Mai","Juin","Juillet","Août","Septembre","Octobre","Novembre","Décembre")</f>
        <v>Octobre</v>
      </c>
      <c r="F37" s="14" t="str">
        <f aca="false">IF(COUNTIF(Hypotheses!$A$6:$A$12,A37)&gt;0,"Jalon","Interpolé")</f>
        <v>Jalon</v>
      </c>
      <c r="G37" s="34" t="n">
        <f aca="false">(INDEX(Hypotheses!$C$6:$C$12,B37+1)-INDEX(Hypotheses!$C$6:$C$12,B37))/(INDEX(Hypotheses!$A$6:$A$12,B37+1)-INDEX(Hypotheses!$A$6:$A$12,B37))</f>
        <v>135666.666666667</v>
      </c>
      <c r="H37" s="35" t="n">
        <f aca="false">INDEX(Hypotheses!$C$65:$C$76,MATCH(D37,Hypotheses!$B$65:$B$76,0))</f>
        <v>0</v>
      </c>
      <c r="I37" s="34" t="n">
        <f aca="false">G37*(1+H37)</f>
        <v>135666.666666667</v>
      </c>
      <c r="J37" s="36" t="n">
        <f aca="false">(INDEX(Hypotheses!$C$6:$C$12,B37+1)-INDEX(Hypotheses!$C$6:$C$12,B37))/SUMIFS($I$2:$I$37,$B$2:$B$37,B37)</f>
        <v>0.952380952380952</v>
      </c>
      <c r="K37" s="37" t="n">
        <f aca="false">IF(F37="Jalon",INDEX(Hypotheses!$C$6:$C$12,MATCH(A37,Hypotheses!$A$6:$A$12,0)),K36+I37*J37)</f>
        <v>3400000</v>
      </c>
      <c r="L37" s="24" t="str">
        <f aca="false">IF(F37="Jalon","Point de repère fixé au TP1 (jalon) — valeur non recalculée","Indice "&amp;TEXT(H37,"+0%;-0%;0%")&amp;" en "&amp;E37&amp;" : "&amp;INDEX(Hypotheses!$D$65:$D$76,MATCH(D37,Hypotheses!$B$65:$B$76,0)))</f>
        <v>Point de repère fixé au TP1 (jalon) — valeur non recalculée</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5"/>
    <col collapsed="false" customWidth="true" hidden="false" outlineLevel="0" max="4" min="3" style="1" width="17"/>
    <col collapsed="false" customWidth="true" hidden="false" outlineLevel="0" max="9" min="5" style="1" width="14"/>
    <col collapsed="false" customWidth="true" hidden="false" outlineLevel="0" max="10" min="10" style="1" width="16"/>
    <col collapsed="false" customWidth="true" hidden="false" outlineLevel="0" max="11" min="11" style="1" width="12"/>
    <col collapsed="false" customWidth="true" hidden="false" outlineLevel="0" max="12" min="12" style="0" width="14"/>
    <col collapsed="false" customWidth="true" hidden="false" outlineLevel="0" max="13" min="13" style="0" width="16"/>
  </cols>
  <sheetData>
    <row r="1" customFormat="false" ht="33.75" hidden="false" customHeight="true" outlineLevel="0" collapsed="false">
      <c r="A1" s="38" t="s">
        <v>3</v>
      </c>
      <c r="B1" s="38" t="s">
        <v>99</v>
      </c>
      <c r="C1" s="38" t="s">
        <v>100</v>
      </c>
      <c r="D1" s="38" t="s">
        <v>101</v>
      </c>
      <c r="E1" s="38" t="s">
        <v>102</v>
      </c>
      <c r="F1" s="38" t="s">
        <v>103</v>
      </c>
      <c r="G1" s="38" t="s">
        <v>104</v>
      </c>
      <c r="H1" s="38" t="s">
        <v>105</v>
      </c>
      <c r="I1" s="38" t="s">
        <v>106</v>
      </c>
      <c r="J1" s="38" t="s">
        <v>107</v>
      </c>
      <c r="K1" s="38" t="s">
        <v>108</v>
      </c>
      <c r="L1" s="38" t="s">
        <v>109</v>
      </c>
      <c r="M1" s="38" t="s">
        <v>110</v>
      </c>
    </row>
    <row r="2" customFormat="false" ht="15" hidden="false" customHeight="true" outlineLevel="0" collapsed="false">
      <c r="A2" s="14" t="n">
        <v>1</v>
      </c>
      <c r="B2" s="39" t="n">
        <f aca="false">IF($A2=1,Hypotheses!$B$32,0)+IF($A2&lt;=Hypotheses!$B$28,Hypotheses!$B$29/Hypotheses!$B$28,0)</f>
        <v>29500</v>
      </c>
      <c r="C2" s="39" t="n">
        <f aca="false">IF($A2&lt;=Hypotheses!$B$28,Hypotheses!$B$88/Hypotheses!$B$28,0)</f>
        <v>2785.71428571429</v>
      </c>
      <c r="D2" s="39" t="n">
        <f aca="false">MAU_mensuel!$K2*Hypotheses!$B$36/12</f>
        <v>157</v>
      </c>
      <c r="E2" s="39" t="n">
        <f aca="false">MAU_mensuel!$K2*Hypotheses!$B$38*Hypotheses!$B$39*Hypotheses!$B$40*Hypotheses!$B$41/1000000</f>
        <v>37.68</v>
      </c>
      <c r="F2" s="39" t="n">
        <f aca="false">MAU_mensuel!$K2*Hypotheses!$B$37/12</f>
        <v>19.625</v>
      </c>
      <c r="G2" s="39" t="n">
        <f aca="false">Hypotheses!$B$43/12</f>
        <v>1450</v>
      </c>
      <c r="H2" s="39" t="n">
        <f aca="false">MAU_mensuel!$K2*Hypotheses!$B$89/12</f>
        <v>13.0833333333333</v>
      </c>
      <c r="I2" s="39" t="n">
        <f aca="false">Hypotheses!$B$46/12</f>
        <v>3333.33333333333</v>
      </c>
      <c r="J2" s="39" t="n">
        <f aca="false">Hypotheses!$B$47/12</f>
        <v>666.666666666667</v>
      </c>
      <c r="K2" s="39" t="n">
        <f aca="false">Hypotheses!$B$51/12</f>
        <v>500</v>
      </c>
      <c r="L2" s="40" t="n">
        <f aca="false">SUM(B2:K2)</f>
        <v>38463.1026190476</v>
      </c>
      <c r="M2" s="41" t="n">
        <f aca="false">L2</f>
        <v>38463.1026190476</v>
      </c>
    </row>
    <row r="3" customFormat="false" ht="15" hidden="false" customHeight="true" outlineLevel="0" collapsed="false">
      <c r="A3" s="14" t="n">
        <v>2</v>
      </c>
      <c r="B3" s="39" t="n">
        <f aca="false">IF($A3=1,Hypotheses!$B$32,0)+IF($A3&lt;=Hypotheses!$B$28,Hypotheses!$B$29/Hypotheses!$B$28,0)</f>
        <v>14500</v>
      </c>
      <c r="C3" s="39" t="n">
        <f aca="false">IF($A3&lt;=Hypotheses!$B$28,Hypotheses!$B$88/Hypotheses!$B$28,0)</f>
        <v>2785.71428571429</v>
      </c>
      <c r="D3" s="39" t="n">
        <f aca="false">MAU_mensuel!$K3*Hypotheses!$B$36/12</f>
        <v>664.783018867925</v>
      </c>
      <c r="E3" s="39" t="n">
        <f aca="false">MAU_mensuel!$K3*Hypotheses!$B$38*Hypotheses!$B$39*Hypotheses!$B$40*Hypotheses!$B$41/1000000</f>
        <v>159.547924528302</v>
      </c>
      <c r="F3" s="39" t="n">
        <f aca="false">MAU_mensuel!$K3*Hypotheses!$B$37/12</f>
        <v>83.0978773584906</v>
      </c>
      <c r="G3" s="39" t="n">
        <f aca="false">Hypotheses!$B$43/12</f>
        <v>1450</v>
      </c>
      <c r="H3" s="39" t="n">
        <f aca="false">MAU_mensuel!$K3*Hypotheses!$B$89/12</f>
        <v>55.3985849056604</v>
      </c>
      <c r="I3" s="39" t="n">
        <f aca="false">Hypotheses!$B$46/12</f>
        <v>3333.33333333333</v>
      </c>
      <c r="J3" s="39" t="n">
        <f aca="false">Hypotheses!$B$47/12</f>
        <v>666.666666666667</v>
      </c>
      <c r="K3" s="39" t="n">
        <f aca="false">Hypotheses!$B$51/12</f>
        <v>500</v>
      </c>
      <c r="L3" s="40" t="n">
        <f aca="false">SUM(B3:K3)</f>
        <v>24198.5416913747</v>
      </c>
      <c r="M3" s="41" t="n">
        <f aca="false">M2+L3</f>
        <v>62661.6443104223</v>
      </c>
    </row>
    <row r="4" customFormat="false" ht="15" hidden="false" customHeight="true" outlineLevel="0" collapsed="false">
      <c r="A4" s="14" t="n">
        <v>3</v>
      </c>
      <c r="B4" s="39" t="n">
        <f aca="false">IF($A4=1,Hypotheses!$B$32,0)+IF($A4&lt;=Hypotheses!$B$28,Hypotheses!$B$29/Hypotheses!$B$28,0)</f>
        <v>14500</v>
      </c>
      <c r="C4" s="39" t="n">
        <f aca="false">IF($A4&lt;=Hypotheses!$B$28,Hypotheses!$B$88/Hypotheses!$B$28,0)</f>
        <v>2785.71428571429</v>
      </c>
      <c r="D4" s="39" t="n">
        <f aca="false">MAU_mensuel!$K4*Hypotheses!$B$36/12</f>
        <v>1111.6320754717</v>
      </c>
      <c r="E4" s="39" t="n">
        <f aca="false">MAU_mensuel!$K4*Hypotheses!$B$38*Hypotheses!$B$39*Hypotheses!$B$40*Hypotheses!$B$41/1000000</f>
        <v>266.791698113208</v>
      </c>
      <c r="F4" s="39" t="n">
        <f aca="false">MAU_mensuel!$K4*Hypotheses!$B$37/12</f>
        <v>138.954009433962</v>
      </c>
      <c r="G4" s="39" t="n">
        <f aca="false">Hypotheses!$B$43/12</f>
        <v>1450</v>
      </c>
      <c r="H4" s="39" t="n">
        <f aca="false">MAU_mensuel!$K4*Hypotheses!$B$89/12</f>
        <v>92.6360062893082</v>
      </c>
      <c r="I4" s="39" t="n">
        <f aca="false">Hypotheses!$B$46/12</f>
        <v>3333.33333333333</v>
      </c>
      <c r="J4" s="39" t="n">
        <f aca="false">Hypotheses!$B$47/12</f>
        <v>666.666666666667</v>
      </c>
      <c r="K4" s="39" t="n">
        <f aca="false">Hypotheses!$B$51/12</f>
        <v>500</v>
      </c>
      <c r="L4" s="40" t="n">
        <f aca="false">SUM(B4:K4)</f>
        <v>24845.7280750225</v>
      </c>
      <c r="M4" s="41" t="n">
        <f aca="false">M3+L4</f>
        <v>87507.3723854448</v>
      </c>
    </row>
    <row r="5" customFormat="false" ht="15" hidden="false" customHeight="true" outlineLevel="0" collapsed="false">
      <c r="A5" s="14" t="n">
        <v>4</v>
      </c>
      <c r="B5" s="39" t="n">
        <f aca="false">IF($A5=1,Hypotheses!$B$32,0)+IF($A5&lt;=Hypotheses!$B$28,Hypotheses!$B$29/Hypotheses!$B$28,0)</f>
        <v>14500</v>
      </c>
      <c r="C5" s="39" t="n">
        <f aca="false">IF($A5&lt;=Hypotheses!$B$28,Hypotheses!$B$88/Hypotheses!$B$28,0)</f>
        <v>2785.71428571429</v>
      </c>
      <c r="D5" s="39" t="n">
        <f aca="false">MAU_mensuel!$K5*Hypotheses!$B$36/12</f>
        <v>1497.54716981132</v>
      </c>
      <c r="E5" s="39" t="n">
        <f aca="false">MAU_mensuel!$K5*Hypotheses!$B$38*Hypotheses!$B$39*Hypotheses!$B$40*Hypotheses!$B$41/1000000</f>
        <v>359.411320754717</v>
      </c>
      <c r="F5" s="39" t="n">
        <f aca="false">MAU_mensuel!$K5*Hypotheses!$B$37/12</f>
        <v>187.193396226415</v>
      </c>
      <c r="G5" s="39" t="n">
        <f aca="false">Hypotheses!$B$43/12</f>
        <v>1450</v>
      </c>
      <c r="H5" s="39" t="n">
        <f aca="false">MAU_mensuel!$K5*Hypotheses!$B$89/12</f>
        <v>124.795597484277</v>
      </c>
      <c r="I5" s="39" t="n">
        <f aca="false">Hypotheses!$B$46/12</f>
        <v>3333.33333333333</v>
      </c>
      <c r="J5" s="39" t="n">
        <f aca="false">Hypotheses!$B$47/12</f>
        <v>666.666666666667</v>
      </c>
      <c r="K5" s="39" t="n">
        <f aca="false">Hypotheses!$B$51/12</f>
        <v>500</v>
      </c>
      <c r="L5" s="40" t="n">
        <f aca="false">SUM(B5:K5)</f>
        <v>25404.661769991</v>
      </c>
      <c r="M5" s="41" t="n">
        <f aca="false">M4+L5</f>
        <v>112912.034155436</v>
      </c>
    </row>
    <row r="6" customFormat="false" ht="15" hidden="false" customHeight="true" outlineLevel="0" collapsed="false">
      <c r="A6" s="14" t="n">
        <v>5</v>
      </c>
      <c r="B6" s="39" t="n">
        <f aca="false">IF($A6=1,Hypotheses!$B$32,0)+IF($A6&lt;=Hypotheses!$B$28,Hypotheses!$B$29/Hypotheses!$B$28,0)</f>
        <v>14500</v>
      </c>
      <c r="C6" s="39" t="n">
        <f aca="false">IF($A6&lt;=Hypotheses!$B$28,Hypotheses!$B$88/Hypotheses!$B$28,0)</f>
        <v>2785.71428571429</v>
      </c>
      <c r="D6" s="39" t="n">
        <f aca="false">MAU_mensuel!$K6*Hypotheses!$B$36/12</f>
        <v>1883.46226415094</v>
      </c>
      <c r="E6" s="39" t="n">
        <f aca="false">MAU_mensuel!$K6*Hypotheses!$B$38*Hypotheses!$B$39*Hypotheses!$B$40*Hypotheses!$B$41/1000000</f>
        <v>452.030943396226</v>
      </c>
      <c r="F6" s="39" t="n">
        <f aca="false">MAU_mensuel!$K6*Hypotheses!$B$37/12</f>
        <v>235.432783018868</v>
      </c>
      <c r="G6" s="39" t="n">
        <f aca="false">Hypotheses!$B$43/12</f>
        <v>1450</v>
      </c>
      <c r="H6" s="39" t="n">
        <f aca="false">MAU_mensuel!$K6*Hypotheses!$B$89/12</f>
        <v>156.955188679245</v>
      </c>
      <c r="I6" s="39" t="n">
        <f aca="false">Hypotheses!$B$46/12</f>
        <v>3333.33333333333</v>
      </c>
      <c r="J6" s="39" t="n">
        <f aca="false">Hypotheses!$B$47/12</f>
        <v>666.666666666667</v>
      </c>
      <c r="K6" s="39" t="n">
        <f aca="false">Hypotheses!$B$51/12</f>
        <v>500</v>
      </c>
      <c r="L6" s="40" t="n">
        <f aca="false">SUM(B6:K6)</f>
        <v>25963.5954649596</v>
      </c>
      <c r="M6" s="41" t="n">
        <f aca="false">M5+L6</f>
        <v>138875.629620395</v>
      </c>
    </row>
    <row r="7" customFormat="false" ht="15" hidden="false" customHeight="true" outlineLevel="0" collapsed="false">
      <c r="A7" s="14" t="n">
        <v>6</v>
      </c>
      <c r="B7" s="39" t="n">
        <f aca="false">IF($A7=1,Hypotheses!$B$32,0)+IF($A7&lt;=Hypotheses!$B$28,Hypotheses!$B$29/Hypotheses!$B$28,0)</f>
        <v>14500</v>
      </c>
      <c r="C7" s="39" t="n">
        <f aca="false">IF($A7&lt;=Hypotheses!$B$28,Hypotheses!$B$88/Hypotheses!$B$28,0)</f>
        <v>2785.71428571429</v>
      </c>
      <c r="D7" s="39" t="n">
        <f aca="false">MAU_mensuel!$K7*Hypotheses!$B$36/12</f>
        <v>2310</v>
      </c>
      <c r="E7" s="39" t="n">
        <f aca="false">MAU_mensuel!$K7*Hypotheses!$B$38*Hypotheses!$B$39*Hypotheses!$B$40*Hypotheses!$B$41/1000000</f>
        <v>554.4</v>
      </c>
      <c r="F7" s="39" t="n">
        <f aca="false">MAU_mensuel!$K7*Hypotheses!$B$37/12</f>
        <v>288.75</v>
      </c>
      <c r="G7" s="39" t="n">
        <f aca="false">Hypotheses!$B$43/12</f>
        <v>1450</v>
      </c>
      <c r="H7" s="39" t="n">
        <f aca="false">MAU_mensuel!$K7*Hypotheses!$B$89/12</f>
        <v>192.5</v>
      </c>
      <c r="I7" s="39" t="n">
        <f aca="false">Hypotheses!$B$46/12</f>
        <v>3333.33333333333</v>
      </c>
      <c r="J7" s="39" t="n">
        <f aca="false">Hypotheses!$B$47/12</f>
        <v>666.666666666667</v>
      </c>
      <c r="K7" s="39" t="n">
        <f aca="false">Hypotheses!$B$51/12</f>
        <v>500</v>
      </c>
      <c r="L7" s="40" t="n">
        <f aca="false">SUM(B7:K7)</f>
        <v>26581.3642857143</v>
      </c>
      <c r="M7" s="41" t="n">
        <f aca="false">M6+L7</f>
        <v>165456.99390611</v>
      </c>
    </row>
    <row r="8" customFormat="false" ht="15" hidden="false" customHeight="true" outlineLevel="0" collapsed="false">
      <c r="A8" s="14" t="n">
        <v>7</v>
      </c>
      <c r="B8" s="39" t="n">
        <f aca="false">IF($A8=1,Hypotheses!$B$32,0)+IF($A8&lt;=Hypotheses!$B$28,Hypotheses!$B$29/Hypotheses!$B$28,0)</f>
        <v>14500</v>
      </c>
      <c r="C8" s="39" t="n">
        <f aca="false">IF($A8&lt;=Hypotheses!$B$28,Hypotheses!$B$88/Hypotheses!$B$28,0)</f>
        <v>2785.71428571429</v>
      </c>
      <c r="D8" s="39" t="n">
        <f aca="false">MAU_mensuel!$K8*Hypotheses!$B$36/12</f>
        <v>3015</v>
      </c>
      <c r="E8" s="39" t="n">
        <f aca="false">MAU_mensuel!$K8*Hypotheses!$B$38*Hypotheses!$B$39*Hypotheses!$B$40*Hypotheses!$B$41/1000000</f>
        <v>723.6</v>
      </c>
      <c r="F8" s="39" t="n">
        <f aca="false">MAU_mensuel!$K8*Hypotheses!$B$37/12</f>
        <v>376.875</v>
      </c>
      <c r="G8" s="39" t="n">
        <f aca="false">Hypotheses!$B$43/12</f>
        <v>1450</v>
      </c>
      <c r="H8" s="39" t="n">
        <f aca="false">MAU_mensuel!$K8*Hypotheses!$B$89/12</f>
        <v>251.25</v>
      </c>
      <c r="I8" s="39" t="n">
        <f aca="false">Hypotheses!$B$46/12</f>
        <v>3333.33333333333</v>
      </c>
      <c r="J8" s="39" t="n">
        <f aca="false">Hypotheses!$B$47/12</f>
        <v>666.666666666667</v>
      </c>
      <c r="K8" s="39" t="n">
        <f aca="false">Hypotheses!$B$51/12</f>
        <v>500</v>
      </c>
      <c r="L8" s="40" t="n">
        <f aca="false">SUM(B8:K8)</f>
        <v>27602.4392857143</v>
      </c>
      <c r="M8" s="41" t="n">
        <f aca="false">M7+L8</f>
        <v>193059.433191824</v>
      </c>
    </row>
    <row r="9" customFormat="false" ht="15" hidden="false" customHeight="true" outlineLevel="0" collapsed="false">
      <c r="A9" s="14" t="n">
        <v>8</v>
      </c>
      <c r="B9" s="39" t="n">
        <f aca="false">IF($A9=1,Hypotheses!$B$32,0)+IF($A9&lt;=Hypotheses!$B$28,Hypotheses!$B$29/Hypotheses!$B$28,0)</f>
        <v>0</v>
      </c>
      <c r="C9" s="39" t="n">
        <f aca="false">IF($A9&lt;=Hypotheses!$B$28,Hypotheses!$B$88/Hypotheses!$B$28,0)</f>
        <v>0</v>
      </c>
      <c r="D9" s="39" t="n">
        <f aca="false">MAU_mensuel!$K9*Hypotheses!$B$36/12</f>
        <v>3686.42857142857</v>
      </c>
      <c r="E9" s="39" t="n">
        <f aca="false">MAU_mensuel!$K9*Hypotheses!$B$38*Hypotheses!$B$39*Hypotheses!$B$40*Hypotheses!$B$41/1000000</f>
        <v>884.742857142857</v>
      </c>
      <c r="F9" s="39" t="n">
        <f aca="false">MAU_mensuel!$K9*Hypotheses!$B$37/12</f>
        <v>460.803571428571</v>
      </c>
      <c r="G9" s="39" t="n">
        <f aca="false">Hypotheses!$B$43/12</f>
        <v>1450</v>
      </c>
      <c r="H9" s="39" t="n">
        <f aca="false">MAU_mensuel!$K9*Hypotheses!$B$89/12</f>
        <v>307.202380952381</v>
      </c>
      <c r="I9" s="39" t="n">
        <f aca="false">Hypotheses!$B$46/12</f>
        <v>3333.33333333333</v>
      </c>
      <c r="J9" s="39" t="n">
        <f aca="false">Hypotheses!$B$47/12</f>
        <v>666.666666666667</v>
      </c>
      <c r="K9" s="39" t="n">
        <f aca="false">Hypotheses!$B$51/12</f>
        <v>500</v>
      </c>
      <c r="L9" s="40" t="n">
        <f aca="false">SUM(B9:K9)</f>
        <v>11289.1773809524</v>
      </c>
      <c r="M9" s="41" t="n">
        <f aca="false">M8+L9</f>
        <v>204348.610572776</v>
      </c>
    </row>
    <row r="10" customFormat="false" ht="15" hidden="false" customHeight="true" outlineLevel="0" collapsed="false">
      <c r="A10" s="14" t="n">
        <v>9</v>
      </c>
      <c r="B10" s="39" t="n">
        <f aca="false">IF($A10=1,Hypotheses!$B$32,0)+IF($A10&lt;=Hypotheses!$B$28,Hypotheses!$B$29/Hypotheses!$B$28,0)</f>
        <v>0</v>
      </c>
      <c r="C10" s="39" t="n">
        <f aca="false">IF($A10&lt;=Hypotheses!$B$28,Hypotheses!$B$88/Hypotheses!$B$28,0)</f>
        <v>0</v>
      </c>
      <c r="D10" s="39" t="n">
        <f aca="false">MAU_mensuel!$K10*Hypotheses!$B$36/12</f>
        <v>4458.57142857143</v>
      </c>
      <c r="E10" s="39" t="n">
        <f aca="false">MAU_mensuel!$K10*Hypotheses!$B$38*Hypotheses!$B$39*Hypotheses!$B$40*Hypotheses!$B$41/1000000</f>
        <v>1070.05714285714</v>
      </c>
      <c r="F10" s="39" t="n">
        <f aca="false">MAU_mensuel!$K10*Hypotheses!$B$37/12</f>
        <v>557.321428571429</v>
      </c>
      <c r="G10" s="39" t="n">
        <f aca="false">Hypotheses!$B$43/12</f>
        <v>1450</v>
      </c>
      <c r="H10" s="39" t="n">
        <f aca="false">MAU_mensuel!$K10*Hypotheses!$B$89/12</f>
        <v>371.547619047619</v>
      </c>
      <c r="I10" s="39" t="n">
        <f aca="false">Hypotheses!$B$46/12</f>
        <v>3333.33333333333</v>
      </c>
      <c r="J10" s="39" t="n">
        <f aca="false">Hypotheses!$B$47/12</f>
        <v>666.666666666667</v>
      </c>
      <c r="K10" s="39" t="n">
        <f aca="false">Hypotheses!$B$51/12</f>
        <v>500</v>
      </c>
      <c r="L10" s="40" t="n">
        <f aca="false">SUM(B10:K10)</f>
        <v>12407.4976190476</v>
      </c>
      <c r="M10" s="41" t="n">
        <f aca="false">M9+L10</f>
        <v>216756.108191824</v>
      </c>
    </row>
    <row r="11" customFormat="false" ht="15" hidden="false" customHeight="true" outlineLevel="0" collapsed="false">
      <c r="A11" s="14" t="n">
        <v>10</v>
      </c>
      <c r="B11" s="39" t="n">
        <f aca="false">IF($A11=1,Hypotheses!$B$32,0)+IF($A11&lt;=Hypotheses!$B$28,Hypotheses!$B$29/Hypotheses!$B$28,0)</f>
        <v>0</v>
      </c>
      <c r="C11" s="39" t="n">
        <f aca="false">IF($A11&lt;=Hypotheses!$B$28,Hypotheses!$B$88/Hypotheses!$B$28,0)</f>
        <v>0</v>
      </c>
      <c r="D11" s="39" t="n">
        <f aca="false">MAU_mensuel!$K11*Hypotheses!$B$36/12</f>
        <v>5230.71428571429</v>
      </c>
      <c r="E11" s="39" t="n">
        <f aca="false">MAU_mensuel!$K11*Hypotheses!$B$38*Hypotheses!$B$39*Hypotheses!$B$40*Hypotheses!$B$41/1000000</f>
        <v>1255.37142857143</v>
      </c>
      <c r="F11" s="39" t="n">
        <f aca="false">MAU_mensuel!$K11*Hypotheses!$B$37/12</f>
        <v>653.839285714286</v>
      </c>
      <c r="G11" s="39" t="n">
        <f aca="false">Hypotheses!$B$43/12</f>
        <v>1450</v>
      </c>
      <c r="H11" s="39" t="n">
        <f aca="false">MAU_mensuel!$K11*Hypotheses!$B$89/12</f>
        <v>435.892857142857</v>
      </c>
      <c r="I11" s="39" t="n">
        <f aca="false">Hypotheses!$B$46/12</f>
        <v>3333.33333333333</v>
      </c>
      <c r="J11" s="39" t="n">
        <f aca="false">Hypotheses!$B$47/12</f>
        <v>666.666666666667</v>
      </c>
      <c r="K11" s="39" t="n">
        <f aca="false">Hypotheses!$B$51/12</f>
        <v>500</v>
      </c>
      <c r="L11" s="40" t="n">
        <f aca="false">SUM(B11:K11)</f>
        <v>13525.8178571429</v>
      </c>
      <c r="M11" s="41" t="n">
        <f aca="false">M10+L11</f>
        <v>230281.926048967</v>
      </c>
    </row>
    <row r="12" customFormat="false" ht="15" hidden="false" customHeight="true" outlineLevel="0" collapsed="false">
      <c r="A12" s="14" t="n">
        <v>11</v>
      </c>
      <c r="B12" s="39" t="n">
        <f aca="false">IF($A12=1,Hypotheses!$B$32,0)+IF($A12&lt;=Hypotheses!$B$28,Hypotheses!$B$29/Hypotheses!$B$28,0)</f>
        <v>0</v>
      </c>
      <c r="C12" s="39" t="n">
        <f aca="false">IF($A12&lt;=Hypotheses!$B$28,Hypotheses!$B$88/Hypotheses!$B$28,0)</f>
        <v>0</v>
      </c>
      <c r="D12" s="39" t="n">
        <f aca="false">MAU_mensuel!$K12*Hypotheses!$B$36/12</f>
        <v>5868.57142857143</v>
      </c>
      <c r="E12" s="39" t="n">
        <f aca="false">MAU_mensuel!$K12*Hypotheses!$B$38*Hypotheses!$B$39*Hypotheses!$B$40*Hypotheses!$B$41/1000000</f>
        <v>1408.45714285714</v>
      </c>
      <c r="F12" s="39" t="n">
        <f aca="false">MAU_mensuel!$K12*Hypotheses!$B$37/12</f>
        <v>733.571428571429</v>
      </c>
      <c r="G12" s="39" t="n">
        <f aca="false">Hypotheses!$B$43/12</f>
        <v>1450</v>
      </c>
      <c r="H12" s="39" t="n">
        <f aca="false">MAU_mensuel!$K12*Hypotheses!$B$89/12</f>
        <v>489.047619047619</v>
      </c>
      <c r="I12" s="39" t="n">
        <f aca="false">Hypotheses!$B$46/12</f>
        <v>3333.33333333333</v>
      </c>
      <c r="J12" s="39" t="n">
        <f aca="false">Hypotheses!$B$47/12</f>
        <v>666.666666666667</v>
      </c>
      <c r="K12" s="39" t="n">
        <f aca="false">Hypotheses!$B$51/12</f>
        <v>500</v>
      </c>
      <c r="L12" s="40" t="n">
        <f aca="false">SUM(B12:K12)</f>
        <v>14449.6476190476</v>
      </c>
      <c r="M12" s="41" t="n">
        <f aca="false">M11+L12</f>
        <v>244731.573668014</v>
      </c>
    </row>
    <row r="13" customFormat="false" ht="15" hidden="false" customHeight="true" outlineLevel="0" collapsed="false">
      <c r="A13" s="14" t="n">
        <v>12</v>
      </c>
      <c r="B13" s="39" t="n">
        <f aca="false">IF($A13=1,Hypotheses!$B$32,0)+IF($A13&lt;=Hypotheses!$B$28,Hypotheses!$B$29/Hypotheses!$B$28,0)</f>
        <v>0</v>
      </c>
      <c r="C13" s="39" t="n">
        <f aca="false">IF($A13&lt;=Hypotheses!$B$28,Hypotheses!$B$88/Hypotheses!$B$28,0)</f>
        <v>0</v>
      </c>
      <c r="D13" s="39" t="n">
        <f aca="false">MAU_mensuel!$K13*Hypotheses!$B$36/12</f>
        <v>6540</v>
      </c>
      <c r="E13" s="39" t="n">
        <f aca="false">MAU_mensuel!$K13*Hypotheses!$B$38*Hypotheses!$B$39*Hypotheses!$B$40*Hypotheses!$B$41/1000000</f>
        <v>1569.6</v>
      </c>
      <c r="F13" s="39" t="n">
        <f aca="false">MAU_mensuel!$K13*Hypotheses!$B$37/12</f>
        <v>817.5</v>
      </c>
      <c r="G13" s="39" t="n">
        <f aca="false">Hypotheses!$B$43/12</f>
        <v>1450</v>
      </c>
      <c r="H13" s="39" t="n">
        <f aca="false">MAU_mensuel!$K13*Hypotheses!$B$89/12</f>
        <v>545</v>
      </c>
      <c r="I13" s="39" t="n">
        <f aca="false">Hypotheses!$B$46/12</f>
        <v>3333.33333333333</v>
      </c>
      <c r="J13" s="39" t="n">
        <f aca="false">Hypotheses!$B$47/12</f>
        <v>666.666666666667</v>
      </c>
      <c r="K13" s="39" t="n">
        <f aca="false">Hypotheses!$B$51/12</f>
        <v>500</v>
      </c>
      <c r="L13" s="40" t="n">
        <f aca="false">SUM(B13:K13)</f>
        <v>15422.1</v>
      </c>
      <c r="M13" s="41" t="n">
        <f aca="false">M12+L13</f>
        <v>260153.673668014</v>
      </c>
    </row>
    <row r="14" customFormat="false" ht="15" hidden="false" customHeight="true" outlineLevel="0" collapsed="false">
      <c r="A14" s="14" t="n">
        <v>13</v>
      </c>
      <c r="B14" s="39" t="n">
        <f aca="false">IF($A14=1,Hypotheses!$B$32,0)+IF($A14&lt;=Hypotheses!$B$28,Hypotheses!$B$29/Hypotheses!$B$28,0)</f>
        <v>0</v>
      </c>
      <c r="C14" s="39" t="n">
        <f aca="false">IF($A14&lt;=Hypotheses!$B$28,Hypotheses!$B$88/Hypotheses!$B$28,0)</f>
        <v>0</v>
      </c>
      <c r="D14" s="39" t="n">
        <f aca="false">MAU_mensuel!$K14*Hypotheses!$B$36/12</f>
        <v>7409.84126984127</v>
      </c>
      <c r="E14" s="39" t="n">
        <f aca="false">MAU_mensuel!$K14*Hypotheses!$B$38*Hypotheses!$B$39*Hypotheses!$B$40*Hypotheses!$B$41/1000000</f>
        <v>1778.36190476191</v>
      </c>
      <c r="F14" s="39" t="n">
        <f aca="false">MAU_mensuel!$K14*Hypotheses!$B$37/12</f>
        <v>926.230158730159</v>
      </c>
      <c r="G14" s="39" t="n">
        <f aca="false">Hypotheses!$B$43/12</f>
        <v>1450</v>
      </c>
      <c r="H14" s="39" t="n">
        <f aca="false">MAU_mensuel!$K14*Hypotheses!$B$89/12</f>
        <v>617.486772486773</v>
      </c>
      <c r="I14" s="39" t="n">
        <f aca="false">Hypotheses!$B$46/12</f>
        <v>3333.33333333333</v>
      </c>
      <c r="J14" s="39" t="n">
        <f aca="false">Hypotheses!$B$47/12</f>
        <v>666.666666666667</v>
      </c>
      <c r="K14" s="39" t="n">
        <f aca="false">Hypotheses!$B$51/12</f>
        <v>500</v>
      </c>
      <c r="L14" s="40" t="n">
        <f aca="false">SUM(B14:K14)</f>
        <v>16681.9201058201</v>
      </c>
      <c r="M14" s="41" t="n">
        <f aca="false">M13+L14</f>
        <v>276835.593773834</v>
      </c>
    </row>
    <row r="15" customFormat="false" ht="15" hidden="false" customHeight="true" outlineLevel="0" collapsed="false">
      <c r="A15" s="14" t="n">
        <v>14</v>
      </c>
      <c r="B15" s="39" t="n">
        <f aca="false">IF($A15=1,Hypotheses!$B$32,0)+IF($A15&lt;=Hypotheses!$B$28,Hypotheses!$B$29/Hypotheses!$B$28,0)</f>
        <v>0</v>
      </c>
      <c r="C15" s="39" t="n">
        <f aca="false">IF($A15&lt;=Hypotheses!$B$28,Hypotheses!$B$88/Hypotheses!$B$28,0)</f>
        <v>0</v>
      </c>
      <c r="D15" s="39" t="n">
        <f aca="false">MAU_mensuel!$K15*Hypotheses!$B$36/12</f>
        <v>8497.14285714286</v>
      </c>
      <c r="E15" s="39" t="n">
        <f aca="false">MAU_mensuel!$K15*Hypotheses!$B$38*Hypotheses!$B$39*Hypotheses!$B$40*Hypotheses!$B$41/1000000</f>
        <v>2039.31428571429</v>
      </c>
      <c r="F15" s="39" t="n">
        <f aca="false">MAU_mensuel!$K15*Hypotheses!$B$37/12</f>
        <v>1062.14285714286</v>
      </c>
      <c r="G15" s="39" t="n">
        <f aca="false">Hypotheses!$B$43/12</f>
        <v>1450</v>
      </c>
      <c r="H15" s="39" t="n">
        <f aca="false">MAU_mensuel!$K15*Hypotheses!$B$89/12</f>
        <v>708.095238095238</v>
      </c>
      <c r="I15" s="39" t="n">
        <f aca="false">Hypotheses!$B$46/12</f>
        <v>3333.33333333333</v>
      </c>
      <c r="J15" s="39" t="n">
        <f aca="false">Hypotheses!$B$47/12</f>
        <v>666.666666666667</v>
      </c>
      <c r="K15" s="39" t="n">
        <f aca="false">Hypotheses!$B$51/12</f>
        <v>500</v>
      </c>
      <c r="L15" s="40" t="n">
        <f aca="false">SUM(B15:K15)</f>
        <v>18256.6952380952</v>
      </c>
      <c r="M15" s="41" t="n">
        <f aca="false">M14+L15</f>
        <v>295092.28901193</v>
      </c>
    </row>
    <row r="16" customFormat="false" ht="15" hidden="false" customHeight="true" outlineLevel="0" collapsed="false">
      <c r="A16" s="14" t="n">
        <v>15</v>
      </c>
      <c r="B16" s="39" t="n">
        <f aca="false">IF($A16=1,Hypotheses!$B$32,0)+IF($A16&lt;=Hypotheses!$B$28,Hypotheses!$B$29/Hypotheses!$B$28,0)</f>
        <v>0</v>
      </c>
      <c r="C16" s="39" t="n">
        <f aca="false">IF($A16&lt;=Hypotheses!$B$28,Hypotheses!$B$88/Hypotheses!$B$28,0)</f>
        <v>0</v>
      </c>
      <c r="D16" s="39" t="n">
        <f aca="false">MAU_mensuel!$K16*Hypotheses!$B$36/12</f>
        <v>9453.96825396825</v>
      </c>
      <c r="E16" s="39" t="n">
        <f aca="false">MAU_mensuel!$K16*Hypotheses!$B$38*Hypotheses!$B$39*Hypotheses!$B$40*Hypotheses!$B$41/1000000</f>
        <v>2268.95238095238</v>
      </c>
      <c r="F16" s="39" t="n">
        <f aca="false">MAU_mensuel!$K16*Hypotheses!$B$37/12</f>
        <v>1181.74603174603</v>
      </c>
      <c r="G16" s="39" t="n">
        <f aca="false">Hypotheses!$B$43/12</f>
        <v>1450</v>
      </c>
      <c r="H16" s="39" t="n">
        <f aca="false">MAU_mensuel!$K16*Hypotheses!$B$89/12</f>
        <v>787.830687830688</v>
      </c>
      <c r="I16" s="39" t="n">
        <f aca="false">Hypotheses!$B$46/12</f>
        <v>3333.33333333333</v>
      </c>
      <c r="J16" s="39" t="n">
        <f aca="false">Hypotheses!$B$47/12</f>
        <v>666.666666666667</v>
      </c>
      <c r="K16" s="39" t="n">
        <f aca="false">Hypotheses!$B$51/12</f>
        <v>500</v>
      </c>
      <c r="L16" s="40" t="n">
        <f aca="false">SUM(B16:K16)</f>
        <v>19642.4973544974</v>
      </c>
      <c r="M16" s="41" t="n">
        <f aca="false">M15+L16</f>
        <v>314734.786366427</v>
      </c>
    </row>
    <row r="17" customFormat="false" ht="15" hidden="false" customHeight="true" outlineLevel="0" collapsed="false">
      <c r="A17" s="14" t="n">
        <v>16</v>
      </c>
      <c r="B17" s="39" t="n">
        <f aca="false">IF($A17=1,Hypotheses!$B$32,0)+IF($A17&lt;=Hypotheses!$B$28,Hypotheses!$B$29/Hypotheses!$B$28,0)</f>
        <v>0</v>
      </c>
      <c r="C17" s="39" t="n">
        <f aca="false">IF($A17&lt;=Hypotheses!$B$28,Hypotheses!$B$88/Hypotheses!$B$28,0)</f>
        <v>0</v>
      </c>
      <c r="D17" s="39" t="n">
        <f aca="false">MAU_mensuel!$K17*Hypotheses!$B$36/12</f>
        <v>10280.3174603175</v>
      </c>
      <c r="E17" s="39" t="n">
        <f aca="false">MAU_mensuel!$K17*Hypotheses!$B$38*Hypotheses!$B$39*Hypotheses!$B$40*Hypotheses!$B$41/1000000</f>
        <v>2467.27619047619</v>
      </c>
      <c r="F17" s="39" t="n">
        <f aca="false">MAU_mensuel!$K17*Hypotheses!$B$37/12</f>
        <v>1285.03968253968</v>
      </c>
      <c r="G17" s="39" t="n">
        <f aca="false">Hypotheses!$B$43/12</f>
        <v>1450</v>
      </c>
      <c r="H17" s="39" t="n">
        <f aca="false">MAU_mensuel!$K17*Hypotheses!$B$89/12</f>
        <v>856.693121693122</v>
      </c>
      <c r="I17" s="39" t="n">
        <f aca="false">Hypotheses!$B$46/12</f>
        <v>3333.33333333333</v>
      </c>
      <c r="J17" s="39" t="n">
        <f aca="false">Hypotheses!$B$47/12</f>
        <v>666.666666666667</v>
      </c>
      <c r="K17" s="39" t="n">
        <f aca="false">Hypotheses!$B$51/12</f>
        <v>500</v>
      </c>
      <c r="L17" s="40" t="n">
        <f aca="false">SUM(B17:K17)</f>
        <v>20839.3264550265</v>
      </c>
      <c r="M17" s="41" t="n">
        <f aca="false">M16+L17</f>
        <v>335574.112821454</v>
      </c>
    </row>
    <row r="18" customFormat="false" ht="15" hidden="false" customHeight="true" outlineLevel="0" collapsed="false">
      <c r="A18" s="14" t="n">
        <v>17</v>
      </c>
      <c r="B18" s="39" t="n">
        <f aca="false">IF($A18=1,Hypotheses!$B$32,0)+IF($A18&lt;=Hypotheses!$B$28,Hypotheses!$B$29/Hypotheses!$B$28,0)</f>
        <v>0</v>
      </c>
      <c r="C18" s="39" t="n">
        <f aca="false">IF($A18&lt;=Hypotheses!$B$28,Hypotheses!$B$88/Hypotheses!$B$28,0)</f>
        <v>0</v>
      </c>
      <c r="D18" s="39" t="n">
        <f aca="false">MAU_mensuel!$K18*Hypotheses!$B$36/12</f>
        <v>11106.6666666667</v>
      </c>
      <c r="E18" s="39" t="n">
        <f aca="false">MAU_mensuel!$K18*Hypotheses!$B$38*Hypotheses!$B$39*Hypotheses!$B$40*Hypotheses!$B$41/1000000</f>
        <v>2665.6</v>
      </c>
      <c r="F18" s="39" t="n">
        <f aca="false">MAU_mensuel!$K18*Hypotheses!$B$37/12</f>
        <v>1388.33333333333</v>
      </c>
      <c r="G18" s="39" t="n">
        <f aca="false">Hypotheses!$B$43/12</f>
        <v>1450</v>
      </c>
      <c r="H18" s="39" t="n">
        <f aca="false">MAU_mensuel!$K18*Hypotheses!$B$89/12</f>
        <v>925.555555555556</v>
      </c>
      <c r="I18" s="39" t="n">
        <f aca="false">Hypotheses!$B$46/12</f>
        <v>3333.33333333333</v>
      </c>
      <c r="J18" s="39" t="n">
        <f aca="false">Hypotheses!$B$47/12</f>
        <v>666.666666666667</v>
      </c>
      <c r="K18" s="39" t="n">
        <f aca="false">Hypotheses!$B$51/12</f>
        <v>500</v>
      </c>
      <c r="L18" s="40" t="n">
        <f aca="false">SUM(B18:K18)</f>
        <v>22036.1555555556</v>
      </c>
      <c r="M18" s="41" t="n">
        <f aca="false">M17+L18</f>
        <v>357610.268377009</v>
      </c>
    </row>
    <row r="19" customFormat="false" ht="15" hidden="false" customHeight="true" outlineLevel="0" collapsed="false">
      <c r="A19" s="14" t="n">
        <v>18</v>
      </c>
      <c r="B19" s="39" t="n">
        <f aca="false">IF($A19=1,Hypotheses!$B$32,0)+IF($A19&lt;=Hypotheses!$B$28,Hypotheses!$B$29/Hypotheses!$B$28,0)</f>
        <v>0</v>
      </c>
      <c r="C19" s="39" t="n">
        <f aca="false">IF($A19&lt;=Hypotheses!$B$28,Hypotheses!$B$88/Hypotheses!$B$28,0)</f>
        <v>0</v>
      </c>
      <c r="D19" s="39" t="n">
        <f aca="false">MAU_mensuel!$K19*Hypotheses!$B$36/12</f>
        <v>12020</v>
      </c>
      <c r="E19" s="39" t="n">
        <f aca="false">MAU_mensuel!$K19*Hypotheses!$B$38*Hypotheses!$B$39*Hypotheses!$B$40*Hypotheses!$B$41/1000000</f>
        <v>2884.8</v>
      </c>
      <c r="F19" s="39" t="n">
        <f aca="false">MAU_mensuel!$K19*Hypotheses!$B$37/12</f>
        <v>1502.5</v>
      </c>
      <c r="G19" s="39" t="n">
        <f aca="false">Hypotheses!$B$43/12</f>
        <v>1450</v>
      </c>
      <c r="H19" s="39" t="n">
        <f aca="false">MAU_mensuel!$K19*Hypotheses!$B$89/12</f>
        <v>1001.66666666667</v>
      </c>
      <c r="I19" s="39" t="n">
        <f aca="false">Hypotheses!$B$46/12</f>
        <v>3333.33333333333</v>
      </c>
      <c r="J19" s="39" t="n">
        <f aca="false">Hypotheses!$B$47/12</f>
        <v>666.666666666667</v>
      </c>
      <c r="K19" s="39" t="n">
        <f aca="false">Hypotheses!$B$51/12</f>
        <v>500</v>
      </c>
      <c r="L19" s="40" t="n">
        <f aca="false">SUM(B19:K19)</f>
        <v>23358.9666666667</v>
      </c>
      <c r="M19" s="41" t="n">
        <f aca="false">M18+L19</f>
        <v>380969.235043676</v>
      </c>
    </row>
    <row r="20" customFormat="false" ht="15" hidden="false" customHeight="true" outlineLevel="0" collapsed="false">
      <c r="A20" s="14" t="n">
        <v>19</v>
      </c>
      <c r="B20" s="39" t="n">
        <f aca="false">IF($A20=1,Hypotheses!$B$32,0)+IF($A20&lt;=Hypotheses!$B$28,Hypotheses!$B$29/Hypotheses!$B$28,0)</f>
        <v>0</v>
      </c>
      <c r="C20" s="39" t="n">
        <f aca="false">IF($A20&lt;=Hypotheses!$B$28,Hypotheses!$B$88/Hypotheses!$B$28,0)</f>
        <v>0</v>
      </c>
      <c r="D20" s="39" t="n">
        <f aca="false">MAU_mensuel!$K20*Hypotheses!$B$36/12</f>
        <v>13100</v>
      </c>
      <c r="E20" s="39" t="n">
        <f aca="false">MAU_mensuel!$K20*Hypotheses!$B$38*Hypotheses!$B$39*Hypotheses!$B$40*Hypotheses!$B$41/1000000</f>
        <v>3144</v>
      </c>
      <c r="F20" s="39" t="n">
        <f aca="false">MAU_mensuel!$K20*Hypotheses!$B$37/12</f>
        <v>1637.5</v>
      </c>
      <c r="G20" s="39" t="n">
        <f aca="false">Hypotheses!$B$43/12</f>
        <v>1450</v>
      </c>
      <c r="H20" s="39" t="n">
        <f aca="false">MAU_mensuel!$K20*Hypotheses!$B$89/12</f>
        <v>1091.66666666667</v>
      </c>
      <c r="I20" s="39" t="n">
        <f aca="false">Hypotheses!$B$46/12</f>
        <v>3333.33333333333</v>
      </c>
      <c r="J20" s="39" t="n">
        <f aca="false">Hypotheses!$B$47/12</f>
        <v>666.666666666667</v>
      </c>
      <c r="K20" s="39" t="n">
        <f aca="false">Hypotheses!$B$51/12</f>
        <v>500</v>
      </c>
      <c r="L20" s="40" t="n">
        <f aca="false">SUM(B20:K20)</f>
        <v>24923.1666666667</v>
      </c>
      <c r="M20" s="41" t="n">
        <f aca="false">M19+L20</f>
        <v>405892.401710342</v>
      </c>
    </row>
    <row r="21" customFormat="false" ht="15" hidden="false" customHeight="true" outlineLevel="0" collapsed="false">
      <c r="A21" s="14" t="n">
        <v>20</v>
      </c>
      <c r="B21" s="39" t="n">
        <f aca="false">IF($A21=1,Hypotheses!$B$32,0)+IF($A21&lt;=Hypotheses!$B$28,Hypotheses!$B$29/Hypotheses!$B$28,0)</f>
        <v>0</v>
      </c>
      <c r="C21" s="39" t="n">
        <f aca="false">IF($A21&lt;=Hypotheses!$B$28,Hypotheses!$B$88/Hypotheses!$B$28,0)</f>
        <v>0</v>
      </c>
      <c r="D21" s="39" t="n">
        <f aca="false">MAU_mensuel!$K21*Hypotheses!$B$36/12</f>
        <v>14128.5714285714</v>
      </c>
      <c r="E21" s="39" t="n">
        <f aca="false">MAU_mensuel!$K21*Hypotheses!$B$38*Hypotheses!$B$39*Hypotheses!$B$40*Hypotheses!$B$41/1000000</f>
        <v>3390.85714285714</v>
      </c>
      <c r="F21" s="39" t="n">
        <f aca="false">MAU_mensuel!$K21*Hypotheses!$B$37/12</f>
        <v>1766.07142857143</v>
      </c>
      <c r="G21" s="39" t="n">
        <f aca="false">Hypotheses!$B$43/12</f>
        <v>1450</v>
      </c>
      <c r="H21" s="39" t="n">
        <f aca="false">MAU_mensuel!$K21*Hypotheses!$B$89/12</f>
        <v>1177.38095238095</v>
      </c>
      <c r="I21" s="39" t="n">
        <f aca="false">Hypotheses!$B$46/12</f>
        <v>3333.33333333333</v>
      </c>
      <c r="J21" s="39" t="n">
        <f aca="false">Hypotheses!$B$47/12</f>
        <v>666.666666666667</v>
      </c>
      <c r="K21" s="39" t="n">
        <f aca="false">Hypotheses!$B$51/12</f>
        <v>500</v>
      </c>
      <c r="L21" s="40" t="n">
        <f aca="false">SUM(B21:K21)</f>
        <v>26412.880952381</v>
      </c>
      <c r="M21" s="41" t="n">
        <f aca="false">M20+L21</f>
        <v>432305.282662723</v>
      </c>
    </row>
    <row r="22" customFormat="false" ht="15" hidden="false" customHeight="true" outlineLevel="0" collapsed="false">
      <c r="A22" s="14" t="n">
        <v>21</v>
      </c>
      <c r="B22" s="39" t="n">
        <f aca="false">IF($A22=1,Hypotheses!$B$32,0)+IF($A22&lt;=Hypotheses!$B$28,Hypotheses!$B$29/Hypotheses!$B$28,0)</f>
        <v>0</v>
      </c>
      <c r="C22" s="39" t="n">
        <f aca="false">IF($A22&lt;=Hypotheses!$B$28,Hypotheses!$B$88/Hypotheses!$B$28,0)</f>
        <v>0</v>
      </c>
      <c r="D22" s="39" t="n">
        <f aca="false">MAU_mensuel!$K22*Hypotheses!$B$36/12</f>
        <v>15311.4285714286</v>
      </c>
      <c r="E22" s="39" t="n">
        <f aca="false">MAU_mensuel!$K22*Hypotheses!$B$38*Hypotheses!$B$39*Hypotheses!$B$40*Hypotheses!$B$41/1000000</f>
        <v>3674.74285714286</v>
      </c>
      <c r="F22" s="39" t="n">
        <f aca="false">MAU_mensuel!$K22*Hypotheses!$B$37/12</f>
        <v>1913.92857142857</v>
      </c>
      <c r="G22" s="39" t="n">
        <f aca="false">Hypotheses!$B$43/12</f>
        <v>1450</v>
      </c>
      <c r="H22" s="39" t="n">
        <f aca="false">MAU_mensuel!$K22*Hypotheses!$B$89/12</f>
        <v>1275.95238095238</v>
      </c>
      <c r="I22" s="39" t="n">
        <f aca="false">Hypotheses!$B$46/12</f>
        <v>3333.33333333333</v>
      </c>
      <c r="J22" s="39" t="n">
        <f aca="false">Hypotheses!$B$47/12</f>
        <v>666.666666666667</v>
      </c>
      <c r="K22" s="39" t="n">
        <f aca="false">Hypotheses!$B$51/12</f>
        <v>500</v>
      </c>
      <c r="L22" s="40" t="n">
        <f aca="false">SUM(B22:K22)</f>
        <v>28126.0523809524</v>
      </c>
      <c r="M22" s="41" t="n">
        <f aca="false">M21+L22</f>
        <v>460431.335043676</v>
      </c>
    </row>
    <row r="23" customFormat="false" ht="15" hidden="false" customHeight="true" outlineLevel="0" collapsed="false">
      <c r="A23" s="14" t="n">
        <v>22</v>
      </c>
      <c r="B23" s="39" t="n">
        <f aca="false">IF($A23=1,Hypotheses!$B$32,0)+IF($A23&lt;=Hypotheses!$B$28,Hypotheses!$B$29/Hypotheses!$B$28,0)</f>
        <v>0</v>
      </c>
      <c r="C23" s="39" t="n">
        <f aca="false">IF($A23&lt;=Hypotheses!$B$28,Hypotheses!$B$88/Hypotheses!$B$28,0)</f>
        <v>0</v>
      </c>
      <c r="D23" s="39" t="n">
        <f aca="false">MAU_mensuel!$K23*Hypotheses!$B$36/12</f>
        <v>16494.2857142857</v>
      </c>
      <c r="E23" s="39" t="n">
        <f aca="false">MAU_mensuel!$K23*Hypotheses!$B$38*Hypotheses!$B$39*Hypotheses!$B$40*Hypotheses!$B$41/1000000</f>
        <v>3958.62857142857</v>
      </c>
      <c r="F23" s="39" t="n">
        <f aca="false">MAU_mensuel!$K23*Hypotheses!$B$37/12</f>
        <v>2061.78571428571</v>
      </c>
      <c r="G23" s="39" t="n">
        <f aca="false">Hypotheses!$B$43/12</f>
        <v>1450</v>
      </c>
      <c r="H23" s="39" t="n">
        <f aca="false">MAU_mensuel!$K23*Hypotheses!$B$89/12</f>
        <v>1374.52380952381</v>
      </c>
      <c r="I23" s="39" t="n">
        <f aca="false">Hypotheses!$B$46/12</f>
        <v>3333.33333333333</v>
      </c>
      <c r="J23" s="39" t="n">
        <f aca="false">Hypotheses!$B$47/12</f>
        <v>666.666666666667</v>
      </c>
      <c r="K23" s="39" t="n">
        <f aca="false">Hypotheses!$B$51/12</f>
        <v>500</v>
      </c>
      <c r="L23" s="40" t="n">
        <f aca="false">SUM(B23:K23)</f>
        <v>29839.2238095238</v>
      </c>
      <c r="M23" s="41" t="n">
        <f aca="false">M22+L23</f>
        <v>490270.5588532</v>
      </c>
    </row>
    <row r="24" customFormat="false" ht="15" hidden="false" customHeight="true" outlineLevel="0" collapsed="false">
      <c r="A24" s="14" t="n">
        <v>23</v>
      </c>
      <c r="B24" s="39" t="n">
        <f aca="false">IF($A24=1,Hypotheses!$B$32,0)+IF($A24&lt;=Hypotheses!$B$28,Hypotheses!$B$29/Hypotheses!$B$28,0)</f>
        <v>0</v>
      </c>
      <c r="C24" s="39" t="n">
        <f aca="false">IF($A24&lt;=Hypotheses!$B$28,Hypotheses!$B$88/Hypotheses!$B$28,0)</f>
        <v>0</v>
      </c>
      <c r="D24" s="39" t="n">
        <f aca="false">MAU_mensuel!$K24*Hypotheses!$B$36/12</f>
        <v>17471.4285714286</v>
      </c>
      <c r="E24" s="39" t="n">
        <f aca="false">MAU_mensuel!$K24*Hypotheses!$B$38*Hypotheses!$B$39*Hypotheses!$B$40*Hypotheses!$B$41/1000000</f>
        <v>4193.14285714286</v>
      </c>
      <c r="F24" s="39" t="n">
        <f aca="false">MAU_mensuel!$K24*Hypotheses!$B$37/12</f>
        <v>2183.92857142857</v>
      </c>
      <c r="G24" s="39" t="n">
        <f aca="false">Hypotheses!$B$43/12</f>
        <v>1450</v>
      </c>
      <c r="H24" s="39" t="n">
        <f aca="false">MAU_mensuel!$K24*Hypotheses!$B$89/12</f>
        <v>1455.95238095238</v>
      </c>
      <c r="I24" s="39" t="n">
        <f aca="false">Hypotheses!$B$46/12</f>
        <v>3333.33333333333</v>
      </c>
      <c r="J24" s="39" t="n">
        <f aca="false">Hypotheses!$B$47/12</f>
        <v>666.666666666667</v>
      </c>
      <c r="K24" s="39" t="n">
        <f aca="false">Hypotheses!$B$51/12</f>
        <v>500</v>
      </c>
      <c r="L24" s="40" t="n">
        <f aca="false">SUM(B24:K24)</f>
        <v>31254.4523809524</v>
      </c>
      <c r="M24" s="41" t="n">
        <f aca="false">M23+L24</f>
        <v>521525.011234152</v>
      </c>
    </row>
    <row r="25" customFormat="false" ht="15" hidden="false" customHeight="true" outlineLevel="0" collapsed="false">
      <c r="A25" s="14" t="n">
        <v>24</v>
      </c>
      <c r="B25" s="39" t="n">
        <f aca="false">IF($A25=1,Hypotheses!$B$32,0)+IF($A25&lt;=Hypotheses!$B$28,Hypotheses!$B$29/Hypotheses!$B$28,0)</f>
        <v>0</v>
      </c>
      <c r="C25" s="39" t="n">
        <f aca="false">IF($A25&lt;=Hypotheses!$B$28,Hypotheses!$B$88/Hypotheses!$B$28,0)</f>
        <v>0</v>
      </c>
      <c r="D25" s="39" t="n">
        <f aca="false">MAU_mensuel!$K25*Hypotheses!$B$36/12</f>
        <v>18500</v>
      </c>
      <c r="E25" s="39" t="n">
        <f aca="false">MAU_mensuel!$K25*Hypotheses!$B$38*Hypotheses!$B$39*Hypotheses!$B$40*Hypotheses!$B$41/1000000</f>
        <v>4440</v>
      </c>
      <c r="F25" s="39" t="n">
        <f aca="false">MAU_mensuel!$K25*Hypotheses!$B$37/12</f>
        <v>2312.5</v>
      </c>
      <c r="G25" s="39" t="n">
        <f aca="false">Hypotheses!$B$43/12</f>
        <v>1450</v>
      </c>
      <c r="H25" s="39" t="n">
        <f aca="false">MAU_mensuel!$K25*Hypotheses!$B$89/12</f>
        <v>1541.66666666667</v>
      </c>
      <c r="I25" s="39" t="n">
        <f aca="false">Hypotheses!$B$46/12</f>
        <v>3333.33333333333</v>
      </c>
      <c r="J25" s="39" t="n">
        <f aca="false">Hypotheses!$B$47/12</f>
        <v>666.666666666667</v>
      </c>
      <c r="K25" s="39" t="n">
        <f aca="false">Hypotheses!$B$51/12</f>
        <v>500</v>
      </c>
      <c r="L25" s="40" t="n">
        <f aca="false">SUM(B25:K25)</f>
        <v>32744.1666666667</v>
      </c>
      <c r="M25" s="41" t="n">
        <f aca="false">M24+L25</f>
        <v>554269.177900819</v>
      </c>
    </row>
    <row r="26" customFormat="false" ht="15" hidden="false" customHeight="true" outlineLevel="0" collapsed="false">
      <c r="A26" s="14" t="n">
        <v>25</v>
      </c>
      <c r="B26" s="39" t="n">
        <f aca="false">IF($A26=1,Hypotheses!$B$32,0)+IF($A26&lt;=Hypotheses!$B$28,Hypotheses!$B$29/Hypotheses!$B$28,0)</f>
        <v>0</v>
      </c>
      <c r="C26" s="39" t="n">
        <f aca="false">IF($A26&lt;=Hypotheses!$B$28,Hypotheses!$B$88/Hypotheses!$B$28,0)</f>
        <v>0</v>
      </c>
      <c r="D26" s="39" t="n">
        <f aca="false">MAU_mensuel!$K26*Hypotheses!$B$36/12</f>
        <v>19668.253968254</v>
      </c>
      <c r="E26" s="39" t="n">
        <f aca="false">MAU_mensuel!$K26*Hypotheses!$B$38*Hypotheses!$B$39*Hypotheses!$B$40*Hypotheses!$B$41/1000000</f>
        <v>4720.38095238095</v>
      </c>
      <c r="F26" s="39" t="n">
        <f aca="false">MAU_mensuel!$K26*Hypotheses!$B$37/12</f>
        <v>2458.53174603175</v>
      </c>
      <c r="G26" s="39" t="n">
        <f aca="false">Hypotheses!$B$43/12</f>
        <v>1450</v>
      </c>
      <c r="H26" s="39" t="n">
        <f aca="false">MAU_mensuel!$K26*Hypotheses!$B$89/12</f>
        <v>1639.02116402116</v>
      </c>
      <c r="I26" s="39" t="n">
        <f aca="false">Hypotheses!$B$46/12</f>
        <v>3333.33333333333</v>
      </c>
      <c r="J26" s="39" t="n">
        <f aca="false">Hypotheses!$B$47/12</f>
        <v>666.666666666667</v>
      </c>
      <c r="K26" s="39" t="n">
        <f aca="false">Hypotheses!$B$51/12</f>
        <v>500</v>
      </c>
      <c r="L26" s="40" t="n">
        <f aca="false">SUM(B26:K26)</f>
        <v>34436.1878306878</v>
      </c>
      <c r="M26" s="41" t="n">
        <f aca="false">M25+L26</f>
        <v>588705.365731507</v>
      </c>
    </row>
    <row r="27" customFormat="false" ht="15" hidden="false" customHeight="true" outlineLevel="0" collapsed="false">
      <c r="A27" s="14" t="n">
        <v>26</v>
      </c>
      <c r="B27" s="39" t="n">
        <f aca="false">IF($A27=1,Hypotheses!$B$32,0)+IF($A27&lt;=Hypotheses!$B$28,Hypotheses!$B$29/Hypotheses!$B$28,0)</f>
        <v>0</v>
      </c>
      <c r="C27" s="39" t="n">
        <f aca="false">IF($A27&lt;=Hypotheses!$B$28,Hypotheses!$B$88/Hypotheses!$B$28,0)</f>
        <v>0</v>
      </c>
      <c r="D27" s="39" t="n">
        <f aca="false">MAU_mensuel!$K27*Hypotheses!$B$36/12</f>
        <v>21128.5714285714</v>
      </c>
      <c r="E27" s="39" t="n">
        <f aca="false">MAU_mensuel!$K27*Hypotheses!$B$38*Hypotheses!$B$39*Hypotheses!$B$40*Hypotheses!$B$41/1000000</f>
        <v>5070.85714285714</v>
      </c>
      <c r="F27" s="39" t="n">
        <f aca="false">MAU_mensuel!$K27*Hypotheses!$B$37/12</f>
        <v>2641.07142857143</v>
      </c>
      <c r="G27" s="39" t="n">
        <f aca="false">Hypotheses!$B$43/12</f>
        <v>1450</v>
      </c>
      <c r="H27" s="39" t="n">
        <f aca="false">MAU_mensuel!$K27*Hypotheses!$B$89/12</f>
        <v>1760.71428571429</v>
      </c>
      <c r="I27" s="39" t="n">
        <f aca="false">Hypotheses!$B$46/12</f>
        <v>3333.33333333333</v>
      </c>
      <c r="J27" s="39" t="n">
        <f aca="false">Hypotheses!$B$47/12</f>
        <v>666.666666666667</v>
      </c>
      <c r="K27" s="39" t="n">
        <f aca="false">Hypotheses!$B$51/12</f>
        <v>500</v>
      </c>
      <c r="L27" s="40" t="n">
        <f aca="false">SUM(B27:K27)</f>
        <v>36551.2142857143</v>
      </c>
      <c r="M27" s="41" t="n">
        <f aca="false">M26+L27</f>
        <v>625256.580017221</v>
      </c>
    </row>
    <row r="28" customFormat="false" ht="15" hidden="false" customHeight="true" outlineLevel="0" collapsed="false">
      <c r="A28" s="14" t="n">
        <v>27</v>
      </c>
      <c r="B28" s="39" t="n">
        <f aca="false">IF($A28=1,Hypotheses!$B$32,0)+IF($A28&lt;=Hypotheses!$B$28,Hypotheses!$B$29/Hypotheses!$B$28,0)</f>
        <v>0</v>
      </c>
      <c r="C28" s="39" t="n">
        <f aca="false">IF($A28&lt;=Hypotheses!$B$28,Hypotheses!$B$88/Hypotheses!$B$28,0)</f>
        <v>0</v>
      </c>
      <c r="D28" s="39" t="n">
        <f aca="false">MAU_mensuel!$K28*Hypotheses!$B$36/12</f>
        <v>22413.6507936508</v>
      </c>
      <c r="E28" s="39" t="n">
        <f aca="false">MAU_mensuel!$K28*Hypotheses!$B$38*Hypotheses!$B$39*Hypotheses!$B$40*Hypotheses!$B$41/1000000</f>
        <v>5379.27619047619</v>
      </c>
      <c r="F28" s="39" t="n">
        <f aca="false">MAU_mensuel!$K28*Hypotheses!$B$37/12</f>
        <v>2801.70634920635</v>
      </c>
      <c r="G28" s="39" t="n">
        <f aca="false">Hypotheses!$B$43/12</f>
        <v>1450</v>
      </c>
      <c r="H28" s="39" t="n">
        <f aca="false">MAU_mensuel!$K28*Hypotheses!$B$89/12</f>
        <v>1867.80423280423</v>
      </c>
      <c r="I28" s="39" t="n">
        <f aca="false">Hypotheses!$B$46/12</f>
        <v>3333.33333333333</v>
      </c>
      <c r="J28" s="39" t="n">
        <f aca="false">Hypotheses!$B$47/12</f>
        <v>666.666666666667</v>
      </c>
      <c r="K28" s="39" t="n">
        <f aca="false">Hypotheses!$B$51/12</f>
        <v>500</v>
      </c>
      <c r="L28" s="40" t="n">
        <f aca="false">SUM(B28:K28)</f>
        <v>38412.4375661376</v>
      </c>
      <c r="M28" s="41" t="n">
        <f aca="false">M27+L28</f>
        <v>663669.017583358</v>
      </c>
    </row>
    <row r="29" customFormat="false" ht="15" hidden="false" customHeight="true" outlineLevel="0" collapsed="false">
      <c r="A29" s="14" t="n">
        <v>28</v>
      </c>
      <c r="B29" s="39" t="n">
        <f aca="false">IF($A29=1,Hypotheses!$B$32,0)+IF($A29&lt;=Hypotheses!$B$28,Hypotheses!$B$29/Hypotheses!$B$28,0)</f>
        <v>0</v>
      </c>
      <c r="C29" s="39" t="n">
        <f aca="false">IF($A29&lt;=Hypotheses!$B$28,Hypotheses!$B$88/Hypotheses!$B$28,0)</f>
        <v>0</v>
      </c>
      <c r="D29" s="39" t="n">
        <f aca="false">MAU_mensuel!$K29*Hypotheses!$B$36/12</f>
        <v>23523.4920634921</v>
      </c>
      <c r="E29" s="39" t="n">
        <f aca="false">MAU_mensuel!$K29*Hypotheses!$B$38*Hypotheses!$B$39*Hypotheses!$B$40*Hypotheses!$B$41/1000000</f>
        <v>5645.6380952381</v>
      </c>
      <c r="F29" s="39" t="n">
        <f aca="false">MAU_mensuel!$K29*Hypotheses!$B$37/12</f>
        <v>2940.43650793651</v>
      </c>
      <c r="G29" s="39" t="n">
        <f aca="false">Hypotheses!$B$43/12</f>
        <v>1450</v>
      </c>
      <c r="H29" s="39" t="n">
        <f aca="false">MAU_mensuel!$K29*Hypotheses!$B$89/12</f>
        <v>1960.29100529101</v>
      </c>
      <c r="I29" s="39" t="n">
        <f aca="false">Hypotheses!$B$46/12</f>
        <v>3333.33333333333</v>
      </c>
      <c r="J29" s="39" t="n">
        <f aca="false">Hypotheses!$B$47/12</f>
        <v>666.666666666667</v>
      </c>
      <c r="K29" s="39" t="n">
        <f aca="false">Hypotheses!$B$51/12</f>
        <v>500</v>
      </c>
      <c r="L29" s="40" t="n">
        <f aca="false">SUM(B29:K29)</f>
        <v>40019.8576719577</v>
      </c>
      <c r="M29" s="41" t="n">
        <f aca="false">M28+L29</f>
        <v>703688.875255316</v>
      </c>
    </row>
    <row r="30" customFormat="false" ht="15" hidden="false" customHeight="true" outlineLevel="0" collapsed="false">
      <c r="A30" s="14" t="n">
        <v>29</v>
      </c>
      <c r="B30" s="39" t="n">
        <f aca="false">IF($A30=1,Hypotheses!$B$32,0)+IF($A30&lt;=Hypotheses!$B$28,Hypotheses!$B$29/Hypotheses!$B$28,0)</f>
        <v>0</v>
      </c>
      <c r="C30" s="39" t="n">
        <f aca="false">IF($A30&lt;=Hypotheses!$B$28,Hypotheses!$B$88/Hypotheses!$B$28,0)</f>
        <v>0</v>
      </c>
      <c r="D30" s="39" t="n">
        <f aca="false">MAU_mensuel!$K30*Hypotheses!$B$36/12</f>
        <v>24633.3333333333</v>
      </c>
      <c r="E30" s="39" t="n">
        <f aca="false">MAU_mensuel!$K30*Hypotheses!$B$38*Hypotheses!$B$39*Hypotheses!$B$40*Hypotheses!$B$41/1000000</f>
        <v>5912</v>
      </c>
      <c r="F30" s="39" t="n">
        <f aca="false">MAU_mensuel!$K30*Hypotheses!$B$37/12</f>
        <v>3079.16666666667</v>
      </c>
      <c r="G30" s="39" t="n">
        <f aca="false">Hypotheses!$B$43/12</f>
        <v>1450</v>
      </c>
      <c r="H30" s="39" t="n">
        <f aca="false">MAU_mensuel!$K30*Hypotheses!$B$89/12</f>
        <v>2052.77777777778</v>
      </c>
      <c r="I30" s="39" t="n">
        <f aca="false">Hypotheses!$B$46/12</f>
        <v>3333.33333333333</v>
      </c>
      <c r="J30" s="39" t="n">
        <f aca="false">Hypotheses!$B$47/12</f>
        <v>666.666666666667</v>
      </c>
      <c r="K30" s="39" t="n">
        <f aca="false">Hypotheses!$B$51/12</f>
        <v>500</v>
      </c>
      <c r="L30" s="40" t="n">
        <f aca="false">SUM(B30:K30)</f>
        <v>41627.2777777778</v>
      </c>
      <c r="M30" s="41" t="n">
        <f aca="false">M29+L30</f>
        <v>745316.153033094</v>
      </c>
    </row>
    <row r="31" customFormat="false" ht="15" hidden="false" customHeight="true" outlineLevel="0" collapsed="false">
      <c r="A31" s="14" t="n">
        <v>30</v>
      </c>
      <c r="B31" s="39" t="n">
        <f aca="false">IF($A31=1,Hypotheses!$B$32,0)+IF($A31&lt;=Hypotheses!$B$28,Hypotheses!$B$29/Hypotheses!$B$28,0)</f>
        <v>0</v>
      </c>
      <c r="C31" s="39" t="n">
        <f aca="false">IF($A31&lt;=Hypotheses!$B$28,Hypotheses!$B$88/Hypotheses!$B$28,0)</f>
        <v>0</v>
      </c>
      <c r="D31" s="39" t="n">
        <f aca="false">MAU_mensuel!$K31*Hypotheses!$B$36/12</f>
        <v>25860</v>
      </c>
      <c r="E31" s="39" t="n">
        <f aca="false">MAU_mensuel!$K31*Hypotheses!$B$38*Hypotheses!$B$39*Hypotheses!$B$40*Hypotheses!$B$41/1000000</f>
        <v>6206.4</v>
      </c>
      <c r="F31" s="39" t="n">
        <f aca="false">MAU_mensuel!$K31*Hypotheses!$B$37/12</f>
        <v>3232.5</v>
      </c>
      <c r="G31" s="39" t="n">
        <f aca="false">Hypotheses!$B$43/12</f>
        <v>1450</v>
      </c>
      <c r="H31" s="39" t="n">
        <f aca="false">MAU_mensuel!$K31*Hypotheses!$B$89/12</f>
        <v>2155</v>
      </c>
      <c r="I31" s="39" t="n">
        <f aca="false">Hypotheses!$B$46/12</f>
        <v>3333.33333333333</v>
      </c>
      <c r="J31" s="39" t="n">
        <f aca="false">Hypotheses!$B$47/12</f>
        <v>666.666666666667</v>
      </c>
      <c r="K31" s="39" t="n">
        <f aca="false">Hypotheses!$B$51/12</f>
        <v>500</v>
      </c>
      <c r="L31" s="40" t="n">
        <f aca="false">SUM(B31:K31)</f>
        <v>43403.9</v>
      </c>
      <c r="M31" s="41" t="n">
        <f aca="false">M30+L31</f>
        <v>788720.053033094</v>
      </c>
    </row>
    <row r="32" customFormat="false" ht="15" hidden="false" customHeight="true" outlineLevel="0" collapsed="false">
      <c r="A32" s="14" t="n">
        <v>31</v>
      </c>
      <c r="B32" s="39" t="n">
        <f aca="false">IF($A32=1,Hypotheses!$B$32,0)+IF($A32&lt;=Hypotheses!$B$28,Hypotheses!$B$29/Hypotheses!$B$28,0)</f>
        <v>0</v>
      </c>
      <c r="C32" s="39" t="n">
        <f aca="false">IF($A32&lt;=Hypotheses!$B$28,Hypotheses!$B$88/Hypotheses!$B$28,0)</f>
        <v>0</v>
      </c>
      <c r="D32" s="39" t="n">
        <f aca="false">MAU_mensuel!$K32*Hypotheses!$B$36/12</f>
        <v>27216.6666666667</v>
      </c>
      <c r="E32" s="39" t="n">
        <f aca="false">MAU_mensuel!$K32*Hypotheses!$B$38*Hypotheses!$B$39*Hypotheses!$B$40*Hypotheses!$B$41/1000000</f>
        <v>6532</v>
      </c>
      <c r="F32" s="39" t="n">
        <f aca="false">MAU_mensuel!$K32*Hypotheses!$B$37/12</f>
        <v>3402.08333333333</v>
      </c>
      <c r="G32" s="39" t="n">
        <f aca="false">Hypotheses!$B$43/12</f>
        <v>1450</v>
      </c>
      <c r="H32" s="39" t="n">
        <f aca="false">MAU_mensuel!$K32*Hypotheses!$B$89/12</f>
        <v>2268.05555555556</v>
      </c>
      <c r="I32" s="39" t="n">
        <f aca="false">Hypotheses!$B$46/12</f>
        <v>3333.33333333333</v>
      </c>
      <c r="J32" s="39" t="n">
        <f aca="false">Hypotheses!$B$47/12</f>
        <v>666.666666666667</v>
      </c>
      <c r="K32" s="39" t="n">
        <f aca="false">Hypotheses!$B$51/12</f>
        <v>500</v>
      </c>
      <c r="L32" s="40" t="n">
        <f aca="false">SUM(B32:K32)</f>
        <v>45368.8055555556</v>
      </c>
      <c r="M32" s="41" t="n">
        <f aca="false">M31+L32</f>
        <v>834088.858588649</v>
      </c>
    </row>
    <row r="33" customFormat="false" ht="15" hidden="false" customHeight="true" outlineLevel="0" collapsed="false">
      <c r="A33" s="14" t="n">
        <v>32</v>
      </c>
      <c r="B33" s="39" t="n">
        <f aca="false">IF($A33=1,Hypotheses!$B$32,0)+IF($A33&lt;=Hypotheses!$B$28,Hypotheses!$B$29/Hypotheses!$B$28,0)</f>
        <v>0</v>
      </c>
      <c r="C33" s="39" t="n">
        <f aca="false">IF($A33&lt;=Hypotheses!$B$28,Hypotheses!$B$88/Hypotheses!$B$28,0)</f>
        <v>0</v>
      </c>
      <c r="D33" s="39" t="n">
        <f aca="false">MAU_mensuel!$K33*Hypotheses!$B$36/12</f>
        <v>28508.7301587302</v>
      </c>
      <c r="E33" s="39" t="n">
        <f aca="false">MAU_mensuel!$K33*Hypotheses!$B$38*Hypotheses!$B$39*Hypotheses!$B$40*Hypotheses!$B$41/1000000</f>
        <v>6842.09523809524</v>
      </c>
      <c r="F33" s="39" t="n">
        <f aca="false">MAU_mensuel!$K33*Hypotheses!$B$37/12</f>
        <v>3563.59126984127</v>
      </c>
      <c r="G33" s="39" t="n">
        <f aca="false">Hypotheses!$B$43/12</f>
        <v>1450</v>
      </c>
      <c r="H33" s="39" t="n">
        <f aca="false">MAU_mensuel!$K33*Hypotheses!$B$89/12</f>
        <v>2375.72751322751</v>
      </c>
      <c r="I33" s="39" t="n">
        <f aca="false">Hypotheses!$B$46/12</f>
        <v>3333.33333333333</v>
      </c>
      <c r="J33" s="39" t="n">
        <f aca="false">Hypotheses!$B$47/12</f>
        <v>666.666666666667</v>
      </c>
      <c r="K33" s="39" t="n">
        <f aca="false">Hypotheses!$B$51/12</f>
        <v>500</v>
      </c>
      <c r="L33" s="40" t="n">
        <f aca="false">SUM(B33:K33)</f>
        <v>47240.1441798942</v>
      </c>
      <c r="M33" s="41" t="n">
        <f aca="false">M32+L33</f>
        <v>881329.002768544</v>
      </c>
    </row>
    <row r="34" customFormat="false" ht="15" hidden="false" customHeight="true" outlineLevel="0" collapsed="false">
      <c r="A34" s="14" t="n">
        <v>33</v>
      </c>
      <c r="B34" s="39" t="n">
        <f aca="false">IF($A34=1,Hypotheses!$B$32,0)+IF($A34&lt;=Hypotheses!$B$28,Hypotheses!$B$29/Hypotheses!$B$28,0)</f>
        <v>0</v>
      </c>
      <c r="C34" s="39" t="n">
        <f aca="false">IF($A34&lt;=Hypotheses!$B$28,Hypotheses!$B$88/Hypotheses!$B$28,0)</f>
        <v>0</v>
      </c>
      <c r="D34" s="39" t="n">
        <f aca="false">MAU_mensuel!$K34*Hypotheses!$B$36/12</f>
        <v>29994.6031746032</v>
      </c>
      <c r="E34" s="39" t="n">
        <f aca="false">MAU_mensuel!$K34*Hypotheses!$B$38*Hypotheses!$B$39*Hypotheses!$B$40*Hypotheses!$B$41/1000000</f>
        <v>7198.70476190476</v>
      </c>
      <c r="F34" s="39" t="n">
        <f aca="false">MAU_mensuel!$K34*Hypotheses!$B$37/12</f>
        <v>3749.3253968254</v>
      </c>
      <c r="G34" s="39" t="n">
        <f aca="false">Hypotheses!$B$43/12</f>
        <v>1450</v>
      </c>
      <c r="H34" s="39" t="n">
        <f aca="false">MAU_mensuel!$K34*Hypotheses!$B$89/12</f>
        <v>2499.55026455026</v>
      </c>
      <c r="I34" s="39" t="n">
        <f aca="false">Hypotheses!$B$46/12</f>
        <v>3333.33333333333</v>
      </c>
      <c r="J34" s="39" t="n">
        <f aca="false">Hypotheses!$B$47/12</f>
        <v>666.666666666667</v>
      </c>
      <c r="K34" s="39" t="n">
        <f aca="false">Hypotheses!$B$51/12</f>
        <v>500</v>
      </c>
      <c r="L34" s="40" t="n">
        <f aca="false">SUM(B34:K34)</f>
        <v>49392.1835978836</v>
      </c>
      <c r="M34" s="41" t="n">
        <f aca="false">M33+L34</f>
        <v>930721.186366427</v>
      </c>
    </row>
    <row r="35" customFormat="false" ht="15" hidden="false" customHeight="true" outlineLevel="0" collapsed="false">
      <c r="A35" s="14" t="n">
        <v>34</v>
      </c>
      <c r="B35" s="39" t="n">
        <f aca="false">IF($A35=1,Hypotheses!$B$32,0)+IF($A35&lt;=Hypotheses!$B$28,Hypotheses!$B$29/Hypotheses!$B$28,0)</f>
        <v>0</v>
      </c>
      <c r="C35" s="39" t="n">
        <f aca="false">IF($A35&lt;=Hypotheses!$B$28,Hypotheses!$B$88/Hypotheses!$B$28,0)</f>
        <v>0</v>
      </c>
      <c r="D35" s="39" t="n">
        <f aca="false">MAU_mensuel!$K35*Hypotheses!$B$36/12</f>
        <v>31480.4761904762</v>
      </c>
      <c r="E35" s="39" t="n">
        <f aca="false">MAU_mensuel!$K35*Hypotheses!$B$38*Hypotheses!$B$39*Hypotheses!$B$40*Hypotheses!$B$41/1000000</f>
        <v>7555.31428571429</v>
      </c>
      <c r="F35" s="39" t="n">
        <f aca="false">MAU_mensuel!$K35*Hypotheses!$B$37/12</f>
        <v>3935.05952380952</v>
      </c>
      <c r="G35" s="39" t="n">
        <f aca="false">Hypotheses!$B$43/12</f>
        <v>1450</v>
      </c>
      <c r="H35" s="39" t="n">
        <f aca="false">MAU_mensuel!$K35*Hypotheses!$B$89/12</f>
        <v>2623.37301587302</v>
      </c>
      <c r="I35" s="39" t="n">
        <f aca="false">Hypotheses!$B$46/12</f>
        <v>3333.33333333333</v>
      </c>
      <c r="J35" s="39" t="n">
        <f aca="false">Hypotheses!$B$47/12</f>
        <v>666.666666666667</v>
      </c>
      <c r="K35" s="39" t="n">
        <f aca="false">Hypotheses!$B$51/12</f>
        <v>500</v>
      </c>
      <c r="L35" s="40" t="n">
        <f aca="false">SUM(B35:K35)</f>
        <v>51544.223015873</v>
      </c>
      <c r="M35" s="41" t="n">
        <f aca="false">M34+L35</f>
        <v>982265.4093823</v>
      </c>
    </row>
    <row r="36" customFormat="false" ht="15" hidden="false" customHeight="true" outlineLevel="0" collapsed="false">
      <c r="A36" s="14" t="n">
        <v>35</v>
      </c>
      <c r="B36" s="39" t="n">
        <f aca="false">IF($A36=1,Hypotheses!$B$32,0)+IF($A36&lt;=Hypotheses!$B$28,Hypotheses!$B$29/Hypotheses!$B$28,0)</f>
        <v>0</v>
      </c>
      <c r="C36" s="39" t="n">
        <f aca="false">IF($A36&lt;=Hypotheses!$B$28,Hypotheses!$B$88/Hypotheses!$B$28,0)</f>
        <v>0</v>
      </c>
      <c r="D36" s="39" t="n">
        <f aca="false">MAU_mensuel!$K36*Hypotheses!$B$36/12</f>
        <v>32707.9365079365</v>
      </c>
      <c r="E36" s="39" t="n">
        <f aca="false">MAU_mensuel!$K36*Hypotheses!$B$38*Hypotheses!$B$39*Hypotheses!$B$40*Hypotheses!$B$41/1000000</f>
        <v>7849.90476190476</v>
      </c>
      <c r="F36" s="39" t="n">
        <f aca="false">MAU_mensuel!$K36*Hypotheses!$B$37/12</f>
        <v>4088.49206349206</v>
      </c>
      <c r="G36" s="39" t="n">
        <f aca="false">Hypotheses!$B$43/12</f>
        <v>1450</v>
      </c>
      <c r="H36" s="39" t="n">
        <f aca="false">MAU_mensuel!$K36*Hypotheses!$B$89/12</f>
        <v>2725.66137566138</v>
      </c>
      <c r="I36" s="39" t="n">
        <f aca="false">Hypotheses!$B$46/12</f>
        <v>3333.33333333333</v>
      </c>
      <c r="J36" s="39" t="n">
        <f aca="false">Hypotheses!$B$47/12</f>
        <v>666.666666666667</v>
      </c>
      <c r="K36" s="39" t="n">
        <f aca="false">Hypotheses!$B$51/12</f>
        <v>500</v>
      </c>
      <c r="L36" s="40" t="n">
        <f aca="false">SUM(B36:K36)</f>
        <v>53321.9947089947</v>
      </c>
      <c r="M36" s="41" t="n">
        <f aca="false">M35+L36</f>
        <v>1035587.40409129</v>
      </c>
    </row>
    <row r="37" customFormat="false" ht="15" hidden="false" customHeight="true" outlineLevel="0" collapsed="false">
      <c r="A37" s="14" t="n">
        <v>36</v>
      </c>
      <c r="B37" s="39" t="n">
        <f aca="false">IF($A37=1,Hypotheses!$B$32,0)+IF($A37&lt;=Hypotheses!$B$28,Hypotheses!$B$29/Hypotheses!$B$28,0)</f>
        <v>0</v>
      </c>
      <c r="C37" s="39" t="n">
        <f aca="false">IF($A37&lt;=Hypotheses!$B$28,Hypotheses!$B$88/Hypotheses!$B$28,0)</f>
        <v>0</v>
      </c>
      <c r="D37" s="39" t="n">
        <f aca="false">MAU_mensuel!$K37*Hypotheses!$B$36/12</f>
        <v>34000</v>
      </c>
      <c r="E37" s="39" t="n">
        <f aca="false">MAU_mensuel!$K37*Hypotheses!$B$38*Hypotheses!$B$39*Hypotheses!$B$40*Hypotheses!$B$41/1000000</f>
        <v>8160</v>
      </c>
      <c r="F37" s="39" t="n">
        <f aca="false">MAU_mensuel!$K37*Hypotheses!$B$37/12</f>
        <v>4250</v>
      </c>
      <c r="G37" s="39" t="n">
        <f aca="false">Hypotheses!$B$43/12</f>
        <v>1450</v>
      </c>
      <c r="H37" s="39" t="n">
        <f aca="false">MAU_mensuel!$K37*Hypotheses!$B$89/12</f>
        <v>2833.33333333333</v>
      </c>
      <c r="I37" s="39" t="n">
        <f aca="false">Hypotheses!$B$46/12</f>
        <v>3333.33333333333</v>
      </c>
      <c r="J37" s="39" t="n">
        <f aca="false">Hypotheses!$B$47/12</f>
        <v>666.666666666667</v>
      </c>
      <c r="K37" s="39" t="n">
        <f aca="false">Hypotheses!$B$51/12</f>
        <v>500</v>
      </c>
      <c r="L37" s="40" t="n">
        <f aca="false">SUM(B37:K37)</f>
        <v>55193.3333333333</v>
      </c>
      <c r="M37" s="41" t="n">
        <f aca="false">M36+L37</f>
        <v>1090780.73742463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2"/>
    <col collapsed="false" customWidth="true" hidden="false" outlineLevel="0" max="3" min="3" style="1" width="14"/>
    <col collapsed="false" customWidth="true" hidden="false" outlineLevel="0" max="4" min="4" style="1" width="12"/>
    <col collapsed="false" customWidth="true" hidden="false" outlineLevel="0" max="7" min="5" style="1" width="14"/>
    <col collapsed="false" customWidth="true" hidden="false" outlineLevel="0" max="8" min="8" style="1" width="12"/>
    <col collapsed="false" customWidth="true" hidden="false" outlineLevel="0" max="11" min="9" style="1" width="14"/>
    <col collapsed="false" customWidth="true" hidden="false" outlineLevel="0" max="12" min="12" style="1" width="12"/>
    <col collapsed="false" customWidth="true" hidden="false" outlineLevel="0" max="14" min="13" style="1" width="14"/>
  </cols>
  <sheetData>
    <row r="1" customFormat="false" ht="26.25" hidden="false" customHeight="true" outlineLevel="0" collapsed="false">
      <c r="A1" s="33" t="s">
        <v>3</v>
      </c>
      <c r="B1" s="33" t="s">
        <v>5</v>
      </c>
      <c r="C1" s="33" t="s">
        <v>111</v>
      </c>
      <c r="D1" s="33" t="s">
        <v>112</v>
      </c>
      <c r="E1" s="33" t="s">
        <v>113</v>
      </c>
      <c r="F1" s="33" t="s">
        <v>114</v>
      </c>
      <c r="G1" s="33" t="s">
        <v>115</v>
      </c>
      <c r="H1" s="33" t="s">
        <v>116</v>
      </c>
      <c r="I1" s="33" t="s">
        <v>117</v>
      </c>
      <c r="J1" s="33" t="s">
        <v>118</v>
      </c>
      <c r="K1" s="33" t="s">
        <v>119</v>
      </c>
      <c r="L1" s="33" t="s">
        <v>120</v>
      </c>
      <c r="M1" s="33" t="s">
        <v>121</v>
      </c>
      <c r="N1" s="33" t="s">
        <v>122</v>
      </c>
    </row>
    <row r="2" customFormat="false" ht="15" hidden="false" customHeight="true" outlineLevel="0" collapsed="false">
      <c r="A2" s="14" t="n">
        <v>1</v>
      </c>
      <c r="B2" s="34" t="n">
        <f aca="false">MAU_mensuel!$K2</f>
        <v>15700</v>
      </c>
      <c r="C2" s="12" t="n">
        <f aca="false">$B2*Hypotheses!$B$21*Hypotheses!$B$16</f>
        <v>328.601</v>
      </c>
      <c r="D2" s="12" t="n">
        <f aca="false">Hypotheses!$B$22*Hypotheses!$B$18/12</f>
        <v>0</v>
      </c>
      <c r="E2" s="42" t="n">
        <f aca="false">C2+D2</f>
        <v>328.601</v>
      </c>
      <c r="F2" s="12" t="n">
        <f aca="false">E2</f>
        <v>328.601</v>
      </c>
      <c r="G2" s="12" t="n">
        <f aca="false">$B2*Hypotheses!$C$21*Hypotheses!$B$16</f>
        <v>469.43</v>
      </c>
      <c r="H2" s="12" t="n">
        <f aca="false">Hypotheses!$C$22*Hypotheses!$B$18/12</f>
        <v>2000</v>
      </c>
      <c r="I2" s="42" t="n">
        <f aca="false">G2+H2</f>
        <v>2469.43</v>
      </c>
      <c r="J2" s="12" t="n">
        <f aca="false">I2</f>
        <v>2469.43</v>
      </c>
      <c r="K2" s="12" t="n">
        <f aca="false">$B2*Hypotheses!$D$21*Hypotheses!$B$16</f>
        <v>938.86</v>
      </c>
      <c r="L2" s="12" t="n">
        <f aca="false">Hypotheses!$D$22*Hypotheses!$B$18/12</f>
        <v>5000</v>
      </c>
      <c r="M2" s="42" t="n">
        <f aca="false">K2+L2</f>
        <v>5938.86</v>
      </c>
      <c r="N2" s="12" t="n">
        <f aca="false">M2</f>
        <v>5938.86</v>
      </c>
    </row>
    <row r="3" customFormat="false" ht="15" hidden="false" customHeight="true" outlineLevel="0" collapsed="false">
      <c r="A3" s="14" t="n">
        <v>2</v>
      </c>
      <c r="B3" s="34" t="n">
        <f aca="false">MAU_mensuel!$K3</f>
        <v>66478.3018867925</v>
      </c>
      <c r="C3" s="12" t="n">
        <f aca="false">$B3*Hypotheses!$B$21*Hypotheses!$B$16</f>
        <v>1391.39085849057</v>
      </c>
      <c r="D3" s="12" t="n">
        <f aca="false">Hypotheses!$B$22*Hypotheses!$B$18/12</f>
        <v>0</v>
      </c>
      <c r="E3" s="42" t="n">
        <f aca="false">C3+D3</f>
        <v>1391.39085849057</v>
      </c>
      <c r="F3" s="12" t="n">
        <f aca="false">F2+E3</f>
        <v>1719.99185849057</v>
      </c>
      <c r="G3" s="12" t="n">
        <f aca="false">$B3*Hypotheses!$C$21*Hypotheses!$B$16</f>
        <v>1987.70122641509</v>
      </c>
      <c r="H3" s="12" t="n">
        <f aca="false">Hypotheses!$C$22*Hypotheses!$B$18/12</f>
        <v>2000</v>
      </c>
      <c r="I3" s="42" t="n">
        <f aca="false">G3+H3</f>
        <v>3987.70122641509</v>
      </c>
      <c r="J3" s="12" t="n">
        <f aca="false">J2+I3</f>
        <v>6457.1312264151</v>
      </c>
      <c r="K3" s="12" t="n">
        <f aca="false">$B3*Hypotheses!$D$21*Hypotheses!$B$16</f>
        <v>3975.40245283019</v>
      </c>
      <c r="L3" s="12" t="n">
        <f aca="false">Hypotheses!$D$22*Hypotheses!$B$18/12</f>
        <v>5000</v>
      </c>
      <c r="M3" s="42" t="n">
        <f aca="false">K3+L3</f>
        <v>8975.40245283019</v>
      </c>
      <c r="N3" s="12" t="n">
        <f aca="false">N2+M3</f>
        <v>14914.2624528302</v>
      </c>
    </row>
    <row r="4" customFormat="false" ht="15" hidden="false" customHeight="true" outlineLevel="0" collapsed="false">
      <c r="A4" s="14" t="n">
        <v>3</v>
      </c>
      <c r="B4" s="34" t="n">
        <f aca="false">MAU_mensuel!$K4</f>
        <v>111163.20754717</v>
      </c>
      <c r="C4" s="12" t="n">
        <f aca="false">$B4*Hypotheses!$B$21*Hypotheses!$B$16</f>
        <v>2326.64593396226</v>
      </c>
      <c r="D4" s="12" t="n">
        <f aca="false">Hypotheses!$B$22*Hypotheses!$B$18/12</f>
        <v>0</v>
      </c>
      <c r="E4" s="42" t="n">
        <f aca="false">C4+D4</f>
        <v>2326.64593396226</v>
      </c>
      <c r="F4" s="12" t="n">
        <f aca="false">F3+E4</f>
        <v>4046.63779245283</v>
      </c>
      <c r="G4" s="12" t="n">
        <f aca="false">$B4*Hypotheses!$C$21*Hypotheses!$B$16</f>
        <v>3323.77990566038</v>
      </c>
      <c r="H4" s="12" t="n">
        <f aca="false">Hypotheses!$C$22*Hypotheses!$B$18/12</f>
        <v>2000</v>
      </c>
      <c r="I4" s="42" t="n">
        <f aca="false">G4+H4</f>
        <v>5323.77990566038</v>
      </c>
      <c r="J4" s="12" t="n">
        <f aca="false">J3+I4</f>
        <v>11780.9111320755</v>
      </c>
      <c r="K4" s="12" t="n">
        <f aca="false">$B4*Hypotheses!$D$21*Hypotheses!$B$16</f>
        <v>6647.55981132076</v>
      </c>
      <c r="L4" s="12" t="n">
        <f aca="false">Hypotheses!$D$22*Hypotheses!$B$18/12</f>
        <v>5000</v>
      </c>
      <c r="M4" s="42" t="n">
        <f aca="false">K4+L4</f>
        <v>11647.5598113208</v>
      </c>
      <c r="N4" s="12" t="n">
        <f aca="false">N3+M4</f>
        <v>26561.8222641509</v>
      </c>
    </row>
    <row r="5" customFormat="false" ht="15" hidden="false" customHeight="true" outlineLevel="0" collapsed="false">
      <c r="A5" s="14" t="n">
        <v>4</v>
      </c>
      <c r="B5" s="34" t="n">
        <f aca="false">MAU_mensuel!$K5</f>
        <v>149754.716981132</v>
      </c>
      <c r="C5" s="12" t="n">
        <f aca="false">$B5*Hypotheses!$B$21*Hypotheses!$B$16</f>
        <v>3134.36622641509</v>
      </c>
      <c r="D5" s="12" t="n">
        <f aca="false">Hypotheses!$B$22*Hypotheses!$B$18/12</f>
        <v>0</v>
      </c>
      <c r="E5" s="42" t="n">
        <f aca="false">C5+D5</f>
        <v>3134.36622641509</v>
      </c>
      <c r="F5" s="12" t="n">
        <f aca="false">F4+E5</f>
        <v>7181.00401886793</v>
      </c>
      <c r="G5" s="12" t="n">
        <f aca="false">$B5*Hypotheses!$C$21*Hypotheses!$B$16</f>
        <v>4477.66603773585</v>
      </c>
      <c r="H5" s="12" t="n">
        <f aca="false">Hypotheses!$C$22*Hypotheses!$B$18/12</f>
        <v>2000</v>
      </c>
      <c r="I5" s="42" t="n">
        <f aca="false">G5+H5</f>
        <v>6477.66603773585</v>
      </c>
      <c r="J5" s="12" t="n">
        <f aca="false">J4+I5</f>
        <v>18258.5771698113</v>
      </c>
      <c r="K5" s="12" t="n">
        <f aca="false">$B5*Hypotheses!$D$21*Hypotheses!$B$16</f>
        <v>8955.3320754717</v>
      </c>
      <c r="L5" s="12" t="n">
        <f aca="false">Hypotheses!$D$22*Hypotheses!$B$18/12</f>
        <v>5000</v>
      </c>
      <c r="M5" s="42" t="n">
        <f aca="false">K5+L5</f>
        <v>13955.3320754717</v>
      </c>
      <c r="N5" s="12" t="n">
        <f aca="false">N4+M5</f>
        <v>40517.1543396227</v>
      </c>
    </row>
    <row r="6" customFormat="false" ht="15" hidden="false" customHeight="true" outlineLevel="0" collapsed="false">
      <c r="A6" s="14" t="n">
        <v>5</v>
      </c>
      <c r="B6" s="34" t="n">
        <f aca="false">MAU_mensuel!$K6</f>
        <v>188346.226415094</v>
      </c>
      <c r="C6" s="12" t="n">
        <f aca="false">$B6*Hypotheses!$B$21*Hypotheses!$B$16</f>
        <v>3942.08651886793</v>
      </c>
      <c r="D6" s="12" t="n">
        <f aca="false">Hypotheses!$B$22*Hypotheses!$B$18/12</f>
        <v>0</v>
      </c>
      <c r="E6" s="42" t="n">
        <f aca="false">C6+D6</f>
        <v>3942.08651886793</v>
      </c>
      <c r="F6" s="12" t="n">
        <f aca="false">F5+E6</f>
        <v>11123.0905377359</v>
      </c>
      <c r="G6" s="12" t="n">
        <f aca="false">$B6*Hypotheses!$C$21*Hypotheses!$B$16</f>
        <v>5631.55216981132</v>
      </c>
      <c r="H6" s="12" t="n">
        <f aca="false">Hypotheses!$C$22*Hypotheses!$B$18/12</f>
        <v>2000</v>
      </c>
      <c r="I6" s="42" t="n">
        <f aca="false">G6+H6</f>
        <v>7631.55216981132</v>
      </c>
      <c r="J6" s="12" t="n">
        <f aca="false">J5+I6</f>
        <v>25890.1293396226</v>
      </c>
      <c r="K6" s="12" t="n">
        <f aca="false">$B6*Hypotheses!$D$21*Hypotheses!$B$16</f>
        <v>11263.1043396226</v>
      </c>
      <c r="L6" s="12" t="n">
        <f aca="false">Hypotheses!$D$22*Hypotheses!$B$18/12</f>
        <v>5000</v>
      </c>
      <c r="M6" s="42" t="n">
        <f aca="false">K6+L6</f>
        <v>16263.1043396226</v>
      </c>
      <c r="N6" s="12" t="n">
        <f aca="false">N5+M6</f>
        <v>56780.2586792453</v>
      </c>
    </row>
    <row r="7" customFormat="false" ht="15" hidden="false" customHeight="true" outlineLevel="0" collapsed="false">
      <c r="A7" s="14" t="n">
        <v>6</v>
      </c>
      <c r="B7" s="34" t="n">
        <f aca="false">MAU_mensuel!$K7</f>
        <v>231000</v>
      </c>
      <c r="C7" s="12" t="n">
        <f aca="false">$B7*Hypotheses!$B$21*Hypotheses!$B$16</f>
        <v>4834.83</v>
      </c>
      <c r="D7" s="12" t="n">
        <f aca="false">Hypotheses!$B$22*Hypotheses!$B$18/12</f>
        <v>0</v>
      </c>
      <c r="E7" s="42" t="n">
        <f aca="false">C7+D7</f>
        <v>4834.83</v>
      </c>
      <c r="F7" s="12" t="n">
        <f aca="false">F6+E7</f>
        <v>15957.9205377359</v>
      </c>
      <c r="G7" s="12" t="n">
        <f aca="false">$B7*Hypotheses!$C$21*Hypotheses!$B$16</f>
        <v>6906.9</v>
      </c>
      <c r="H7" s="12" t="n">
        <f aca="false">Hypotheses!$C$22*Hypotheses!$B$18/12</f>
        <v>2000</v>
      </c>
      <c r="I7" s="42" t="n">
        <f aca="false">G7+H7</f>
        <v>8906.9</v>
      </c>
      <c r="J7" s="12" t="n">
        <f aca="false">J6+I7</f>
        <v>34797.0293396227</v>
      </c>
      <c r="K7" s="12" t="n">
        <f aca="false">$B7*Hypotheses!$D$21*Hypotheses!$B$16</f>
        <v>13813.8</v>
      </c>
      <c r="L7" s="12" t="n">
        <f aca="false">Hypotheses!$D$22*Hypotheses!$B$18/12</f>
        <v>5000</v>
      </c>
      <c r="M7" s="42" t="n">
        <f aca="false">K7+L7</f>
        <v>18813.8</v>
      </c>
      <c r="N7" s="12" t="n">
        <f aca="false">N6+M7</f>
        <v>75594.0586792453</v>
      </c>
    </row>
    <row r="8" customFormat="false" ht="15" hidden="false" customHeight="true" outlineLevel="0" collapsed="false">
      <c r="A8" s="14" t="n">
        <v>7</v>
      </c>
      <c r="B8" s="34" t="n">
        <f aca="false">MAU_mensuel!$K8</f>
        <v>301500</v>
      </c>
      <c r="C8" s="12" t="n">
        <f aca="false">$B8*Hypotheses!$B$21*Hypotheses!$B$16</f>
        <v>6310.395</v>
      </c>
      <c r="D8" s="12" t="n">
        <f aca="false">Hypotheses!$B$22*Hypotheses!$B$18/12</f>
        <v>0</v>
      </c>
      <c r="E8" s="42" t="n">
        <f aca="false">C8+D8</f>
        <v>6310.395</v>
      </c>
      <c r="F8" s="12" t="n">
        <f aca="false">F7+E8</f>
        <v>22268.3155377359</v>
      </c>
      <c r="G8" s="12" t="n">
        <f aca="false">$B8*Hypotheses!$C$21*Hypotheses!$B$16</f>
        <v>9014.85</v>
      </c>
      <c r="H8" s="12" t="n">
        <f aca="false">Hypotheses!$C$22*Hypotheses!$B$18/12</f>
        <v>2000</v>
      </c>
      <c r="I8" s="42" t="n">
        <f aca="false">G8+H8</f>
        <v>11014.85</v>
      </c>
      <c r="J8" s="12" t="n">
        <f aca="false">J7+I8</f>
        <v>45811.8793396227</v>
      </c>
      <c r="K8" s="12" t="n">
        <f aca="false">$B8*Hypotheses!$D$21*Hypotheses!$B$16</f>
        <v>18029.7</v>
      </c>
      <c r="L8" s="12" t="n">
        <f aca="false">Hypotheses!$D$22*Hypotheses!$B$18/12</f>
        <v>5000</v>
      </c>
      <c r="M8" s="42" t="n">
        <f aca="false">K8+L8</f>
        <v>23029.7</v>
      </c>
      <c r="N8" s="12" t="n">
        <f aca="false">N7+M8</f>
        <v>98623.7586792453</v>
      </c>
    </row>
    <row r="9" customFormat="false" ht="15" hidden="false" customHeight="true" outlineLevel="0" collapsed="false">
      <c r="A9" s="14" t="n">
        <v>8</v>
      </c>
      <c r="B9" s="34" t="n">
        <f aca="false">MAU_mensuel!$K9</f>
        <v>368642.857142857</v>
      </c>
      <c r="C9" s="12" t="n">
        <f aca="false">$B9*Hypotheses!$B$21*Hypotheses!$B$16</f>
        <v>7715.695</v>
      </c>
      <c r="D9" s="12" t="n">
        <f aca="false">Hypotheses!$B$22*Hypotheses!$B$18/12</f>
        <v>0</v>
      </c>
      <c r="E9" s="42" t="n">
        <f aca="false">C9+D9</f>
        <v>7715.695</v>
      </c>
      <c r="F9" s="12" t="n">
        <f aca="false">F8+E9</f>
        <v>29984.0105377359</v>
      </c>
      <c r="G9" s="12" t="n">
        <f aca="false">$B9*Hypotheses!$C$21*Hypotheses!$B$16</f>
        <v>11022.4214285714</v>
      </c>
      <c r="H9" s="12" t="n">
        <f aca="false">Hypotheses!$C$22*Hypotheses!$B$18/12</f>
        <v>2000</v>
      </c>
      <c r="I9" s="42" t="n">
        <f aca="false">G9+H9</f>
        <v>13022.4214285714</v>
      </c>
      <c r="J9" s="12" t="n">
        <f aca="false">J8+I9</f>
        <v>58834.3007681941</v>
      </c>
      <c r="K9" s="12" t="n">
        <f aca="false">$B9*Hypotheses!$D$21*Hypotheses!$B$16</f>
        <v>22044.8428571429</v>
      </c>
      <c r="L9" s="12" t="n">
        <f aca="false">Hypotheses!$D$22*Hypotheses!$B$18/12</f>
        <v>5000</v>
      </c>
      <c r="M9" s="42" t="n">
        <f aca="false">K9+L9</f>
        <v>27044.8428571429</v>
      </c>
      <c r="N9" s="12" t="n">
        <f aca="false">N8+M9</f>
        <v>125668.601536388</v>
      </c>
    </row>
    <row r="10" customFormat="false" ht="15" hidden="false" customHeight="true" outlineLevel="0" collapsed="false">
      <c r="A10" s="14" t="n">
        <v>9</v>
      </c>
      <c r="B10" s="34" t="n">
        <f aca="false">MAU_mensuel!$K10</f>
        <v>445857.142857143</v>
      </c>
      <c r="C10" s="12" t="n">
        <f aca="false">$B10*Hypotheses!$B$21*Hypotheses!$B$16</f>
        <v>9331.79</v>
      </c>
      <c r="D10" s="12" t="n">
        <f aca="false">Hypotheses!$B$22*Hypotheses!$B$18/12</f>
        <v>0</v>
      </c>
      <c r="E10" s="42" t="n">
        <f aca="false">C10+D10</f>
        <v>9331.79</v>
      </c>
      <c r="F10" s="12" t="n">
        <f aca="false">F9+E10</f>
        <v>39315.8005377359</v>
      </c>
      <c r="G10" s="12" t="n">
        <f aca="false">$B10*Hypotheses!$C$21*Hypotheses!$B$16</f>
        <v>13331.1285714286</v>
      </c>
      <c r="H10" s="12" t="n">
        <f aca="false">Hypotheses!$C$22*Hypotheses!$B$18/12</f>
        <v>2000</v>
      </c>
      <c r="I10" s="42" t="n">
        <f aca="false">G10+H10</f>
        <v>15331.1285714286</v>
      </c>
      <c r="J10" s="12" t="n">
        <f aca="false">J9+I10</f>
        <v>74165.4293396227</v>
      </c>
      <c r="K10" s="12" t="n">
        <f aca="false">$B10*Hypotheses!$D$21*Hypotheses!$B$16</f>
        <v>26662.2571428571</v>
      </c>
      <c r="L10" s="12" t="n">
        <f aca="false">Hypotheses!$D$22*Hypotheses!$B$18/12</f>
        <v>5000</v>
      </c>
      <c r="M10" s="42" t="n">
        <f aca="false">K10+L10</f>
        <v>31662.2571428571</v>
      </c>
      <c r="N10" s="12" t="n">
        <f aca="false">N9+M10</f>
        <v>157330.858679245</v>
      </c>
    </row>
    <row r="11" customFormat="false" ht="15" hidden="false" customHeight="true" outlineLevel="0" collapsed="false">
      <c r="A11" s="14" t="n">
        <v>10</v>
      </c>
      <c r="B11" s="34" t="n">
        <f aca="false">MAU_mensuel!$K11</f>
        <v>523071.428571429</v>
      </c>
      <c r="C11" s="12" t="n">
        <f aca="false">$B11*Hypotheses!$B$21*Hypotheses!$B$16</f>
        <v>10947.885</v>
      </c>
      <c r="D11" s="12" t="n">
        <f aca="false">Hypotheses!$B$22*Hypotheses!$B$18/12</f>
        <v>0</v>
      </c>
      <c r="E11" s="42" t="n">
        <f aca="false">C11+D11</f>
        <v>10947.885</v>
      </c>
      <c r="F11" s="12" t="n">
        <f aca="false">F10+E11</f>
        <v>50263.6855377359</v>
      </c>
      <c r="G11" s="12" t="n">
        <f aca="false">$B11*Hypotheses!$C$21*Hypotheses!$B$16</f>
        <v>15639.8357142857</v>
      </c>
      <c r="H11" s="12" t="n">
        <f aca="false">Hypotheses!$C$22*Hypotheses!$B$18/12</f>
        <v>2000</v>
      </c>
      <c r="I11" s="42" t="n">
        <f aca="false">G11+H11</f>
        <v>17639.8357142857</v>
      </c>
      <c r="J11" s="12" t="n">
        <f aca="false">J10+I11</f>
        <v>91805.2650539084</v>
      </c>
      <c r="K11" s="12" t="n">
        <f aca="false">$B11*Hypotheses!$D$21*Hypotheses!$B$16</f>
        <v>31279.6714285714</v>
      </c>
      <c r="L11" s="12" t="n">
        <f aca="false">Hypotheses!$D$22*Hypotheses!$B$18/12</f>
        <v>5000</v>
      </c>
      <c r="M11" s="42" t="n">
        <f aca="false">K11+L11</f>
        <v>36279.6714285714</v>
      </c>
      <c r="N11" s="12" t="n">
        <f aca="false">N10+M11</f>
        <v>193610.530107817</v>
      </c>
    </row>
    <row r="12" customFormat="false" ht="15" hidden="false" customHeight="true" outlineLevel="0" collapsed="false">
      <c r="A12" s="14" t="n">
        <v>11</v>
      </c>
      <c r="B12" s="34" t="n">
        <f aca="false">MAU_mensuel!$K12</f>
        <v>586857.142857143</v>
      </c>
      <c r="C12" s="12" t="n">
        <f aca="false">$B12*Hypotheses!$B$21*Hypotheses!$B$16</f>
        <v>12282.92</v>
      </c>
      <c r="D12" s="12" t="n">
        <f aca="false">Hypotheses!$B$22*Hypotheses!$B$18/12</f>
        <v>0</v>
      </c>
      <c r="E12" s="42" t="n">
        <f aca="false">C12+D12</f>
        <v>12282.92</v>
      </c>
      <c r="F12" s="12" t="n">
        <f aca="false">F11+E12</f>
        <v>62546.6055377359</v>
      </c>
      <c r="G12" s="12" t="n">
        <f aca="false">$B12*Hypotheses!$C$21*Hypotheses!$B$16</f>
        <v>17547.0285714286</v>
      </c>
      <c r="H12" s="12" t="n">
        <f aca="false">Hypotheses!$C$22*Hypotheses!$B$18/12</f>
        <v>2000</v>
      </c>
      <c r="I12" s="42" t="n">
        <f aca="false">G12+H12</f>
        <v>19547.0285714286</v>
      </c>
      <c r="J12" s="12" t="n">
        <f aca="false">J11+I12</f>
        <v>111352.293625337</v>
      </c>
      <c r="K12" s="12" t="n">
        <f aca="false">$B12*Hypotheses!$D$21*Hypotheses!$B$16</f>
        <v>35094.0571428571</v>
      </c>
      <c r="L12" s="12" t="n">
        <f aca="false">Hypotheses!$D$22*Hypotheses!$B$18/12</f>
        <v>5000</v>
      </c>
      <c r="M12" s="42" t="n">
        <f aca="false">K12+L12</f>
        <v>40094.0571428571</v>
      </c>
      <c r="N12" s="12" t="n">
        <f aca="false">N11+M12</f>
        <v>233704.587250674</v>
      </c>
    </row>
    <row r="13" customFormat="false" ht="15" hidden="false" customHeight="true" outlineLevel="0" collapsed="false">
      <c r="A13" s="14" t="n">
        <v>12</v>
      </c>
      <c r="B13" s="34" t="n">
        <f aca="false">MAU_mensuel!$K13</f>
        <v>654000</v>
      </c>
      <c r="C13" s="12" t="n">
        <f aca="false">$B13*Hypotheses!$B$21*Hypotheses!$B$16</f>
        <v>13688.22</v>
      </c>
      <c r="D13" s="12" t="n">
        <f aca="false">Hypotheses!$B$22*Hypotheses!$B$18/12</f>
        <v>0</v>
      </c>
      <c r="E13" s="42" t="n">
        <f aca="false">C13+D13</f>
        <v>13688.22</v>
      </c>
      <c r="F13" s="12" t="n">
        <f aca="false">F12+E13</f>
        <v>76234.8255377359</v>
      </c>
      <c r="G13" s="12" t="n">
        <f aca="false">$B13*Hypotheses!$C$21*Hypotheses!$B$16</f>
        <v>19554.6</v>
      </c>
      <c r="H13" s="12" t="n">
        <f aca="false">Hypotheses!$C$22*Hypotheses!$B$18/12</f>
        <v>2000</v>
      </c>
      <c r="I13" s="42" t="n">
        <f aca="false">G13+H13</f>
        <v>21554.6</v>
      </c>
      <c r="J13" s="12" t="n">
        <f aca="false">J12+I13</f>
        <v>132906.893625337</v>
      </c>
      <c r="K13" s="12" t="n">
        <f aca="false">$B13*Hypotheses!$D$21*Hypotheses!$B$16</f>
        <v>39109.2</v>
      </c>
      <c r="L13" s="12" t="n">
        <f aca="false">Hypotheses!$D$22*Hypotheses!$B$18/12</f>
        <v>5000</v>
      </c>
      <c r="M13" s="42" t="n">
        <f aca="false">K13+L13</f>
        <v>44109.2</v>
      </c>
      <c r="N13" s="12" t="n">
        <f aca="false">N12+M13</f>
        <v>277813.787250674</v>
      </c>
    </row>
    <row r="14" customFormat="false" ht="15" hidden="false" customHeight="true" outlineLevel="0" collapsed="false">
      <c r="A14" s="14" t="n">
        <v>13</v>
      </c>
      <c r="B14" s="34" t="n">
        <f aca="false">MAU_mensuel!$K14</f>
        <v>740984.126984127</v>
      </c>
      <c r="C14" s="12" t="n">
        <f aca="false">$B14*Hypotheses!$B$21*Hypotheses!$B$16</f>
        <v>15508.7977777778</v>
      </c>
      <c r="D14" s="12" t="n">
        <f aca="false">Hypotheses!$B$22*Hypotheses!$B$18/12</f>
        <v>0</v>
      </c>
      <c r="E14" s="42" t="n">
        <f aca="false">C14+D14</f>
        <v>15508.7977777778</v>
      </c>
      <c r="F14" s="12" t="n">
        <f aca="false">F13+E14</f>
        <v>91743.6233155136</v>
      </c>
      <c r="G14" s="12" t="n">
        <f aca="false">$B14*Hypotheses!$C$21*Hypotheses!$B$16</f>
        <v>22155.4253968254</v>
      </c>
      <c r="H14" s="12" t="n">
        <f aca="false">Hypotheses!$C$22*Hypotheses!$B$18/12</f>
        <v>2000</v>
      </c>
      <c r="I14" s="42" t="n">
        <f aca="false">G14+H14</f>
        <v>24155.4253968254</v>
      </c>
      <c r="J14" s="12" t="n">
        <f aca="false">J13+I14</f>
        <v>157062.319022162</v>
      </c>
      <c r="K14" s="12" t="n">
        <f aca="false">$B14*Hypotheses!$D$21*Hypotheses!$B$16</f>
        <v>44310.8507936508</v>
      </c>
      <c r="L14" s="12" t="n">
        <f aca="false">Hypotheses!$D$22*Hypotheses!$B$18/12</f>
        <v>5000</v>
      </c>
      <c r="M14" s="42" t="n">
        <f aca="false">K14+L14</f>
        <v>49310.8507936508</v>
      </c>
      <c r="N14" s="12" t="n">
        <f aca="false">N13+M14</f>
        <v>327124.638044325</v>
      </c>
    </row>
    <row r="15" customFormat="false" ht="15" hidden="false" customHeight="true" outlineLevel="0" collapsed="false">
      <c r="A15" s="14" t="n">
        <v>14</v>
      </c>
      <c r="B15" s="34" t="n">
        <f aca="false">MAU_mensuel!$K15</f>
        <v>849714.285714286</v>
      </c>
      <c r="C15" s="12" t="n">
        <f aca="false">$B15*Hypotheses!$B$21*Hypotheses!$B$16</f>
        <v>17784.52</v>
      </c>
      <c r="D15" s="12" t="n">
        <f aca="false">Hypotheses!$B$22*Hypotheses!$B$18/12</f>
        <v>0</v>
      </c>
      <c r="E15" s="42" t="n">
        <f aca="false">C15+D15</f>
        <v>17784.52</v>
      </c>
      <c r="F15" s="12" t="n">
        <f aca="false">F14+E15</f>
        <v>109528.143315514</v>
      </c>
      <c r="G15" s="12" t="n">
        <f aca="false">$B15*Hypotheses!$C$21*Hypotheses!$B$16</f>
        <v>25406.4571428571</v>
      </c>
      <c r="H15" s="12" t="n">
        <f aca="false">Hypotheses!$C$22*Hypotheses!$B$18/12</f>
        <v>2000</v>
      </c>
      <c r="I15" s="42" t="n">
        <f aca="false">G15+H15</f>
        <v>27406.4571428571</v>
      </c>
      <c r="J15" s="12" t="n">
        <f aca="false">J14+I15</f>
        <v>184468.776165019</v>
      </c>
      <c r="K15" s="12" t="n">
        <f aca="false">$B15*Hypotheses!$D$21*Hypotheses!$B$16</f>
        <v>50812.9142857143</v>
      </c>
      <c r="L15" s="12" t="n">
        <f aca="false">Hypotheses!$D$22*Hypotheses!$B$18/12</f>
        <v>5000</v>
      </c>
      <c r="M15" s="42" t="n">
        <f aca="false">K15+L15</f>
        <v>55812.9142857143</v>
      </c>
      <c r="N15" s="12" t="n">
        <f aca="false">N14+M15</f>
        <v>382937.552330039</v>
      </c>
    </row>
    <row r="16" customFormat="false" ht="15" hidden="false" customHeight="true" outlineLevel="0" collapsed="false">
      <c r="A16" s="14" t="n">
        <v>15</v>
      </c>
      <c r="B16" s="34" t="n">
        <f aca="false">MAU_mensuel!$K16</f>
        <v>945396.825396825</v>
      </c>
      <c r="C16" s="12" t="n">
        <f aca="false">$B16*Hypotheses!$B$21*Hypotheses!$B$16</f>
        <v>19787.1555555556</v>
      </c>
      <c r="D16" s="12" t="n">
        <f aca="false">Hypotheses!$B$22*Hypotheses!$B$18/12</f>
        <v>0</v>
      </c>
      <c r="E16" s="42" t="n">
        <f aca="false">C16+D16</f>
        <v>19787.1555555556</v>
      </c>
      <c r="F16" s="12" t="n">
        <f aca="false">F15+E16</f>
        <v>129315.298871069</v>
      </c>
      <c r="G16" s="12" t="n">
        <f aca="false">$B16*Hypotheses!$C$21*Hypotheses!$B$16</f>
        <v>28267.3650793651</v>
      </c>
      <c r="H16" s="12" t="n">
        <f aca="false">Hypotheses!$C$22*Hypotheses!$B$18/12</f>
        <v>2000</v>
      </c>
      <c r="I16" s="42" t="n">
        <f aca="false">G16+H16</f>
        <v>30267.3650793651</v>
      </c>
      <c r="J16" s="12" t="n">
        <f aca="false">J15+I16</f>
        <v>214736.141244385</v>
      </c>
      <c r="K16" s="12" t="n">
        <f aca="false">$B16*Hypotheses!$D$21*Hypotheses!$B$16</f>
        <v>56534.7301587302</v>
      </c>
      <c r="L16" s="12" t="n">
        <f aca="false">Hypotheses!$D$22*Hypotheses!$B$18/12</f>
        <v>5000</v>
      </c>
      <c r="M16" s="42" t="n">
        <f aca="false">K16+L16</f>
        <v>61534.7301587302</v>
      </c>
      <c r="N16" s="12" t="n">
        <f aca="false">N15+M16</f>
        <v>444472.282488769</v>
      </c>
    </row>
    <row r="17" customFormat="false" ht="15" hidden="false" customHeight="true" outlineLevel="0" collapsed="false">
      <c r="A17" s="14" t="n">
        <v>16</v>
      </c>
      <c r="B17" s="34" t="n">
        <f aca="false">MAU_mensuel!$K17</f>
        <v>1028031.74603175</v>
      </c>
      <c r="C17" s="12" t="n">
        <f aca="false">$B17*Hypotheses!$B$21*Hypotheses!$B$16</f>
        <v>21516.7044444444</v>
      </c>
      <c r="D17" s="12" t="n">
        <f aca="false">Hypotheses!$B$22*Hypotheses!$B$18/12</f>
        <v>0</v>
      </c>
      <c r="E17" s="42" t="n">
        <f aca="false">C17+D17</f>
        <v>21516.7044444444</v>
      </c>
      <c r="F17" s="12" t="n">
        <f aca="false">F16+E17</f>
        <v>150832.003315514</v>
      </c>
      <c r="G17" s="12" t="n">
        <f aca="false">$B17*Hypotheses!$C$21*Hypotheses!$B$16</f>
        <v>30738.1492063492</v>
      </c>
      <c r="H17" s="12" t="n">
        <f aca="false">Hypotheses!$C$22*Hypotheses!$B$18/12</f>
        <v>2000</v>
      </c>
      <c r="I17" s="42" t="n">
        <f aca="false">G17+H17</f>
        <v>32738.1492063492</v>
      </c>
      <c r="J17" s="12" t="n">
        <f aca="false">J16+I17</f>
        <v>247474.290450734</v>
      </c>
      <c r="K17" s="12" t="n">
        <f aca="false">$B17*Hypotheses!$D$21*Hypotheses!$B$16</f>
        <v>61476.2984126984</v>
      </c>
      <c r="L17" s="12" t="n">
        <f aca="false">Hypotheses!$D$22*Hypotheses!$B$18/12</f>
        <v>5000</v>
      </c>
      <c r="M17" s="42" t="n">
        <f aca="false">K17+L17</f>
        <v>66476.2984126984</v>
      </c>
      <c r="N17" s="12" t="n">
        <f aca="false">N16+M17</f>
        <v>510948.580901468</v>
      </c>
    </row>
    <row r="18" customFormat="false" ht="15" hidden="false" customHeight="true" outlineLevel="0" collapsed="false">
      <c r="A18" s="14" t="n">
        <v>17</v>
      </c>
      <c r="B18" s="34" t="n">
        <f aca="false">MAU_mensuel!$K18</f>
        <v>1110666.66666667</v>
      </c>
      <c r="C18" s="12" t="n">
        <f aca="false">$B18*Hypotheses!$B$21*Hypotheses!$B$16</f>
        <v>23246.2533333333</v>
      </c>
      <c r="D18" s="12" t="n">
        <f aca="false">Hypotheses!$B$22*Hypotheses!$B$18/12</f>
        <v>0</v>
      </c>
      <c r="E18" s="42" t="n">
        <f aca="false">C18+D18</f>
        <v>23246.2533333333</v>
      </c>
      <c r="F18" s="12" t="n">
        <f aca="false">F17+E18</f>
        <v>174078.256648847</v>
      </c>
      <c r="G18" s="12" t="n">
        <f aca="false">$B18*Hypotheses!$C$21*Hypotheses!$B$16</f>
        <v>33208.9333333333</v>
      </c>
      <c r="H18" s="12" t="n">
        <f aca="false">Hypotheses!$C$22*Hypotheses!$B$18/12</f>
        <v>2000</v>
      </c>
      <c r="I18" s="42" t="n">
        <f aca="false">G18+H18</f>
        <v>35208.9333333333</v>
      </c>
      <c r="J18" s="12" t="n">
        <f aca="false">J17+I18</f>
        <v>282683.223784067</v>
      </c>
      <c r="K18" s="12" t="n">
        <f aca="false">$B18*Hypotheses!$D$21*Hypotheses!$B$16</f>
        <v>66417.8666666667</v>
      </c>
      <c r="L18" s="12" t="n">
        <f aca="false">Hypotheses!$D$22*Hypotheses!$B$18/12</f>
        <v>5000</v>
      </c>
      <c r="M18" s="42" t="n">
        <f aca="false">K18+L18</f>
        <v>71417.8666666667</v>
      </c>
      <c r="N18" s="12" t="n">
        <f aca="false">N17+M18</f>
        <v>582366.447568134</v>
      </c>
    </row>
    <row r="19" customFormat="false" ht="15" hidden="false" customHeight="true" outlineLevel="0" collapsed="false">
      <c r="A19" s="14" t="n">
        <v>18</v>
      </c>
      <c r="B19" s="34" t="n">
        <f aca="false">MAU_mensuel!$K19</f>
        <v>1202000</v>
      </c>
      <c r="C19" s="12" t="n">
        <f aca="false">$B19*Hypotheses!$B$21*Hypotheses!$B$16</f>
        <v>25157.86</v>
      </c>
      <c r="D19" s="12" t="n">
        <f aca="false">Hypotheses!$B$22*Hypotheses!$B$18/12</f>
        <v>0</v>
      </c>
      <c r="E19" s="42" t="n">
        <f aca="false">C19+D19</f>
        <v>25157.86</v>
      </c>
      <c r="F19" s="12" t="n">
        <f aca="false">F18+E19</f>
        <v>199236.116648847</v>
      </c>
      <c r="G19" s="12" t="n">
        <f aca="false">$B19*Hypotheses!$C$21*Hypotheses!$B$16</f>
        <v>35939.8</v>
      </c>
      <c r="H19" s="12" t="n">
        <f aca="false">Hypotheses!$C$22*Hypotheses!$B$18/12</f>
        <v>2000</v>
      </c>
      <c r="I19" s="42" t="n">
        <f aca="false">G19+H19</f>
        <v>37939.8</v>
      </c>
      <c r="J19" s="12" t="n">
        <f aca="false">J18+I19</f>
        <v>320623.023784067</v>
      </c>
      <c r="K19" s="12" t="n">
        <f aca="false">$B19*Hypotheses!$D$21*Hypotheses!$B$16</f>
        <v>71879.6</v>
      </c>
      <c r="L19" s="12" t="n">
        <f aca="false">Hypotheses!$D$22*Hypotheses!$B$18/12</f>
        <v>5000</v>
      </c>
      <c r="M19" s="42" t="n">
        <f aca="false">K19+L19</f>
        <v>76879.6</v>
      </c>
      <c r="N19" s="12" t="n">
        <f aca="false">N18+M19</f>
        <v>659246.047568134</v>
      </c>
    </row>
    <row r="20" customFormat="false" ht="15" hidden="false" customHeight="true" outlineLevel="0" collapsed="false">
      <c r="A20" s="14" t="n">
        <v>19</v>
      </c>
      <c r="B20" s="34" t="n">
        <f aca="false">MAU_mensuel!$K20</f>
        <v>1310000</v>
      </c>
      <c r="C20" s="12" t="n">
        <f aca="false">$B20*Hypotheses!$B$21*Hypotheses!$B$16</f>
        <v>27418.3</v>
      </c>
      <c r="D20" s="12" t="n">
        <f aca="false">Hypotheses!$B$22*Hypotheses!$B$18/12</f>
        <v>0</v>
      </c>
      <c r="E20" s="42" t="n">
        <f aca="false">C20+D20</f>
        <v>27418.3</v>
      </c>
      <c r="F20" s="12" t="n">
        <f aca="false">F19+E20</f>
        <v>226654.416648847</v>
      </c>
      <c r="G20" s="12" t="n">
        <f aca="false">$B20*Hypotheses!$C$21*Hypotheses!$B$16</f>
        <v>39169</v>
      </c>
      <c r="H20" s="12" t="n">
        <f aca="false">Hypotheses!$C$22*Hypotheses!$B$18/12</f>
        <v>2000</v>
      </c>
      <c r="I20" s="42" t="n">
        <f aca="false">G20+H20</f>
        <v>41169</v>
      </c>
      <c r="J20" s="12" t="n">
        <f aca="false">J19+I20</f>
        <v>361792.023784067</v>
      </c>
      <c r="K20" s="12" t="n">
        <f aca="false">$B20*Hypotheses!$D$21*Hypotheses!$B$16</f>
        <v>78338</v>
      </c>
      <c r="L20" s="12" t="n">
        <f aca="false">Hypotheses!$D$22*Hypotheses!$B$18/12</f>
        <v>5000</v>
      </c>
      <c r="M20" s="42" t="n">
        <f aca="false">K20+L20</f>
        <v>83338</v>
      </c>
      <c r="N20" s="12" t="n">
        <f aca="false">N19+M20</f>
        <v>742584.047568134</v>
      </c>
    </row>
    <row r="21" customFormat="false" ht="15" hidden="false" customHeight="true" outlineLevel="0" collapsed="false">
      <c r="A21" s="14" t="n">
        <v>20</v>
      </c>
      <c r="B21" s="34" t="n">
        <f aca="false">MAU_mensuel!$K21</f>
        <v>1412857.14285714</v>
      </c>
      <c r="C21" s="12" t="n">
        <f aca="false">$B21*Hypotheses!$B$21*Hypotheses!$B$16</f>
        <v>29571.1</v>
      </c>
      <c r="D21" s="12" t="n">
        <f aca="false">Hypotheses!$B$22*Hypotheses!$B$18/12</f>
        <v>0</v>
      </c>
      <c r="E21" s="42" t="n">
        <f aca="false">C21+D21</f>
        <v>29571.1</v>
      </c>
      <c r="F21" s="12" t="n">
        <f aca="false">F20+E21</f>
        <v>256225.516648847</v>
      </c>
      <c r="G21" s="12" t="n">
        <f aca="false">$B21*Hypotheses!$C$21*Hypotheses!$B$16</f>
        <v>42244.4285714286</v>
      </c>
      <c r="H21" s="12" t="n">
        <f aca="false">Hypotheses!$C$22*Hypotheses!$B$18/12</f>
        <v>2000</v>
      </c>
      <c r="I21" s="42" t="n">
        <f aca="false">G21+H21</f>
        <v>44244.4285714286</v>
      </c>
      <c r="J21" s="12" t="n">
        <f aca="false">J20+I21</f>
        <v>406036.452355496</v>
      </c>
      <c r="K21" s="12" t="n">
        <f aca="false">$B21*Hypotheses!$D$21*Hypotheses!$B$16</f>
        <v>84488.8571428572</v>
      </c>
      <c r="L21" s="12" t="n">
        <f aca="false">Hypotheses!$D$22*Hypotheses!$B$18/12</f>
        <v>5000</v>
      </c>
      <c r="M21" s="42" t="n">
        <f aca="false">K21+L21</f>
        <v>89488.8571428572</v>
      </c>
      <c r="N21" s="12" t="n">
        <f aca="false">N20+M21</f>
        <v>832072.904710991</v>
      </c>
    </row>
    <row r="22" customFormat="false" ht="15" hidden="false" customHeight="true" outlineLevel="0" collapsed="false">
      <c r="A22" s="14" t="n">
        <v>21</v>
      </c>
      <c r="B22" s="34" t="n">
        <f aca="false">MAU_mensuel!$K22</f>
        <v>1531142.85714286</v>
      </c>
      <c r="C22" s="12" t="n">
        <f aca="false">$B22*Hypotheses!$B$21*Hypotheses!$B$16</f>
        <v>32046.82</v>
      </c>
      <c r="D22" s="12" t="n">
        <f aca="false">Hypotheses!$B$22*Hypotheses!$B$18/12</f>
        <v>0</v>
      </c>
      <c r="E22" s="42" t="n">
        <f aca="false">C22+D22</f>
        <v>32046.82</v>
      </c>
      <c r="F22" s="12" t="n">
        <f aca="false">F21+E22</f>
        <v>288272.336648847</v>
      </c>
      <c r="G22" s="12" t="n">
        <f aca="false">$B22*Hypotheses!$C$21*Hypotheses!$B$16</f>
        <v>45781.1714285714</v>
      </c>
      <c r="H22" s="12" t="n">
        <f aca="false">Hypotheses!$C$22*Hypotheses!$B$18/12</f>
        <v>2000</v>
      </c>
      <c r="I22" s="42" t="n">
        <f aca="false">G22+H22</f>
        <v>47781.1714285714</v>
      </c>
      <c r="J22" s="12" t="n">
        <f aca="false">J21+I22</f>
        <v>453817.623784067</v>
      </c>
      <c r="K22" s="12" t="n">
        <f aca="false">$B22*Hypotheses!$D$21*Hypotheses!$B$16</f>
        <v>91562.3428571429</v>
      </c>
      <c r="L22" s="12" t="n">
        <f aca="false">Hypotheses!$D$22*Hypotheses!$B$18/12</f>
        <v>5000</v>
      </c>
      <c r="M22" s="42" t="n">
        <f aca="false">K22+L22</f>
        <v>96562.3428571429</v>
      </c>
      <c r="N22" s="12" t="n">
        <f aca="false">N21+M22</f>
        <v>928635.247568134</v>
      </c>
    </row>
    <row r="23" customFormat="false" ht="15" hidden="false" customHeight="true" outlineLevel="0" collapsed="false">
      <c r="A23" s="14" t="n">
        <v>22</v>
      </c>
      <c r="B23" s="34" t="n">
        <f aca="false">MAU_mensuel!$K23</f>
        <v>1649428.57142857</v>
      </c>
      <c r="C23" s="12" t="n">
        <f aca="false">$B23*Hypotheses!$B$21*Hypotheses!$B$16</f>
        <v>34522.54</v>
      </c>
      <c r="D23" s="12" t="n">
        <f aca="false">Hypotheses!$B$22*Hypotheses!$B$18/12</f>
        <v>0</v>
      </c>
      <c r="E23" s="42" t="n">
        <f aca="false">C23+D23</f>
        <v>34522.54</v>
      </c>
      <c r="F23" s="12" t="n">
        <f aca="false">F22+E23</f>
        <v>322794.876648847</v>
      </c>
      <c r="G23" s="12" t="n">
        <f aca="false">$B23*Hypotheses!$C$21*Hypotheses!$B$16</f>
        <v>49317.9142857143</v>
      </c>
      <c r="H23" s="12" t="n">
        <f aca="false">Hypotheses!$C$22*Hypotheses!$B$18/12</f>
        <v>2000</v>
      </c>
      <c r="I23" s="42" t="n">
        <f aca="false">G23+H23</f>
        <v>51317.9142857143</v>
      </c>
      <c r="J23" s="12" t="n">
        <f aca="false">J22+I23</f>
        <v>505135.538069781</v>
      </c>
      <c r="K23" s="12" t="n">
        <f aca="false">$B23*Hypotheses!$D$21*Hypotheses!$B$16</f>
        <v>98635.8285714286</v>
      </c>
      <c r="L23" s="12" t="n">
        <f aca="false">Hypotheses!$D$22*Hypotheses!$B$18/12</f>
        <v>5000</v>
      </c>
      <c r="M23" s="42" t="n">
        <f aca="false">K23+L23</f>
        <v>103635.828571429</v>
      </c>
      <c r="N23" s="12" t="n">
        <f aca="false">N22+M23</f>
        <v>1032271.07613956</v>
      </c>
    </row>
    <row r="24" customFormat="false" ht="15" hidden="false" customHeight="true" outlineLevel="0" collapsed="false">
      <c r="A24" s="14" t="n">
        <v>23</v>
      </c>
      <c r="B24" s="34" t="n">
        <f aca="false">MAU_mensuel!$K24</f>
        <v>1747142.85714286</v>
      </c>
      <c r="C24" s="12" t="n">
        <f aca="false">$B24*Hypotheses!$B$21*Hypotheses!$B$16</f>
        <v>36567.7</v>
      </c>
      <c r="D24" s="12" t="n">
        <f aca="false">Hypotheses!$B$22*Hypotheses!$B$18/12</f>
        <v>0</v>
      </c>
      <c r="E24" s="42" t="n">
        <f aca="false">C24+D24</f>
        <v>36567.7</v>
      </c>
      <c r="F24" s="12" t="n">
        <f aca="false">F23+E24</f>
        <v>359362.576648847</v>
      </c>
      <c r="G24" s="12" t="n">
        <f aca="false">$B24*Hypotheses!$C$21*Hypotheses!$B$16</f>
        <v>52239.5714285714</v>
      </c>
      <c r="H24" s="12" t="n">
        <f aca="false">Hypotheses!$C$22*Hypotheses!$B$18/12</f>
        <v>2000</v>
      </c>
      <c r="I24" s="42" t="n">
        <f aca="false">G24+H24</f>
        <v>54239.5714285714</v>
      </c>
      <c r="J24" s="12" t="n">
        <f aca="false">J23+I24</f>
        <v>559375.109498353</v>
      </c>
      <c r="K24" s="12" t="n">
        <f aca="false">$B24*Hypotheses!$D$21*Hypotheses!$B$16</f>
        <v>104479.142857143</v>
      </c>
      <c r="L24" s="12" t="n">
        <f aca="false">Hypotheses!$D$22*Hypotheses!$B$18/12</f>
        <v>5000</v>
      </c>
      <c r="M24" s="42" t="n">
        <f aca="false">K24+L24</f>
        <v>109479.142857143</v>
      </c>
      <c r="N24" s="12" t="n">
        <f aca="false">N23+M24</f>
        <v>1141750.21899671</v>
      </c>
    </row>
    <row r="25" customFormat="false" ht="15" hidden="false" customHeight="true" outlineLevel="0" collapsed="false">
      <c r="A25" s="14" t="n">
        <v>24</v>
      </c>
      <c r="B25" s="34" t="n">
        <f aca="false">MAU_mensuel!$K25</f>
        <v>1850000</v>
      </c>
      <c r="C25" s="12" t="n">
        <f aca="false">$B25*Hypotheses!$B$21*Hypotheses!$B$16</f>
        <v>38720.5</v>
      </c>
      <c r="D25" s="12" t="n">
        <f aca="false">Hypotheses!$B$22*Hypotheses!$B$18/12</f>
        <v>0</v>
      </c>
      <c r="E25" s="42" t="n">
        <f aca="false">C25+D25</f>
        <v>38720.5</v>
      </c>
      <c r="F25" s="12" t="n">
        <f aca="false">F24+E25</f>
        <v>398083.076648847</v>
      </c>
      <c r="G25" s="12" t="n">
        <f aca="false">$B25*Hypotheses!$C$21*Hypotheses!$B$16</f>
        <v>55315</v>
      </c>
      <c r="H25" s="12" t="n">
        <f aca="false">Hypotheses!$C$22*Hypotheses!$B$18/12</f>
        <v>2000</v>
      </c>
      <c r="I25" s="42" t="n">
        <f aca="false">G25+H25</f>
        <v>57315</v>
      </c>
      <c r="J25" s="12" t="n">
        <f aca="false">J24+I25</f>
        <v>616690.109498353</v>
      </c>
      <c r="K25" s="12" t="n">
        <f aca="false">$B25*Hypotheses!$D$21*Hypotheses!$B$16</f>
        <v>110630</v>
      </c>
      <c r="L25" s="12" t="n">
        <f aca="false">Hypotheses!$D$22*Hypotheses!$B$18/12</f>
        <v>5000</v>
      </c>
      <c r="M25" s="42" t="n">
        <f aca="false">K25+L25</f>
        <v>115630</v>
      </c>
      <c r="N25" s="12" t="n">
        <f aca="false">N24+M25</f>
        <v>1257380.21899671</v>
      </c>
    </row>
    <row r="26" customFormat="false" ht="15" hidden="false" customHeight="true" outlineLevel="0" collapsed="false">
      <c r="A26" s="14" t="n">
        <v>25</v>
      </c>
      <c r="B26" s="34" t="n">
        <f aca="false">MAU_mensuel!$K26</f>
        <v>1966825.3968254</v>
      </c>
      <c r="C26" s="12" t="n">
        <f aca="false">$B26*Hypotheses!$B$21*Hypotheses!$B$16</f>
        <v>41165.6555555556</v>
      </c>
      <c r="D26" s="12" t="n">
        <f aca="false">Hypotheses!$B$22*Hypotheses!$B$18/12</f>
        <v>0</v>
      </c>
      <c r="E26" s="42" t="n">
        <f aca="false">C26+D26</f>
        <v>41165.6555555556</v>
      </c>
      <c r="F26" s="12" t="n">
        <f aca="false">F25+E26</f>
        <v>439248.732204403</v>
      </c>
      <c r="G26" s="12" t="n">
        <f aca="false">$B26*Hypotheses!$C$21*Hypotheses!$B$16</f>
        <v>58808.0793650794</v>
      </c>
      <c r="H26" s="12" t="n">
        <f aca="false">Hypotheses!$C$22*Hypotheses!$B$18/12</f>
        <v>2000</v>
      </c>
      <c r="I26" s="42" t="n">
        <f aca="false">G26+H26</f>
        <v>60808.0793650794</v>
      </c>
      <c r="J26" s="12" t="n">
        <f aca="false">J25+I26</f>
        <v>677498.188863432</v>
      </c>
      <c r="K26" s="12" t="n">
        <f aca="false">$B26*Hypotheses!$D$21*Hypotheses!$B$16</f>
        <v>117616.158730159</v>
      </c>
      <c r="L26" s="12" t="n">
        <f aca="false">Hypotheses!$D$22*Hypotheses!$B$18/12</f>
        <v>5000</v>
      </c>
      <c r="M26" s="42" t="n">
        <f aca="false">K26+L26</f>
        <v>122616.158730159</v>
      </c>
      <c r="N26" s="12" t="n">
        <f aca="false">N25+M26</f>
        <v>1379996.37772686</v>
      </c>
    </row>
    <row r="27" customFormat="false" ht="15" hidden="false" customHeight="true" outlineLevel="0" collapsed="false">
      <c r="A27" s="14" t="n">
        <v>26</v>
      </c>
      <c r="B27" s="34" t="n">
        <f aca="false">MAU_mensuel!$K27</f>
        <v>2112857.14285714</v>
      </c>
      <c r="C27" s="12" t="n">
        <f aca="false">$B27*Hypotheses!$B$21*Hypotheses!$B$16</f>
        <v>44222.1</v>
      </c>
      <c r="D27" s="12" t="n">
        <f aca="false">Hypotheses!$B$22*Hypotheses!$B$18/12</f>
        <v>0</v>
      </c>
      <c r="E27" s="42" t="n">
        <f aca="false">C27+D27</f>
        <v>44222.1</v>
      </c>
      <c r="F27" s="12" t="n">
        <f aca="false">F26+E27</f>
        <v>483470.832204403</v>
      </c>
      <c r="G27" s="12" t="n">
        <f aca="false">$B27*Hypotheses!$C$21*Hypotheses!$B$16</f>
        <v>63174.4285714286</v>
      </c>
      <c r="H27" s="12" t="n">
        <f aca="false">Hypotheses!$C$22*Hypotheses!$B$18/12</f>
        <v>2000</v>
      </c>
      <c r="I27" s="42" t="n">
        <f aca="false">G27+H27</f>
        <v>65174.4285714286</v>
      </c>
      <c r="J27" s="12" t="n">
        <f aca="false">J26+I27</f>
        <v>742672.617434861</v>
      </c>
      <c r="K27" s="12" t="n">
        <f aca="false">$B27*Hypotheses!$D$21*Hypotheses!$B$16</f>
        <v>126348.857142857</v>
      </c>
      <c r="L27" s="12" t="n">
        <f aca="false">Hypotheses!$D$22*Hypotheses!$B$18/12</f>
        <v>5000</v>
      </c>
      <c r="M27" s="42" t="n">
        <f aca="false">K27+L27</f>
        <v>131348.857142857</v>
      </c>
      <c r="N27" s="12" t="n">
        <f aca="false">N26+M27</f>
        <v>1511345.23486972</v>
      </c>
    </row>
    <row r="28" customFormat="false" ht="15" hidden="false" customHeight="true" outlineLevel="0" collapsed="false">
      <c r="A28" s="14" t="n">
        <v>27</v>
      </c>
      <c r="B28" s="34" t="n">
        <f aca="false">MAU_mensuel!$K28</f>
        <v>2241365.07936508</v>
      </c>
      <c r="C28" s="12" t="n">
        <f aca="false">$B28*Hypotheses!$B$21*Hypotheses!$B$16</f>
        <v>46911.7711111111</v>
      </c>
      <c r="D28" s="12" t="n">
        <f aca="false">Hypotheses!$B$22*Hypotheses!$B$18/12</f>
        <v>0</v>
      </c>
      <c r="E28" s="42" t="n">
        <f aca="false">C28+D28</f>
        <v>46911.7711111111</v>
      </c>
      <c r="F28" s="12" t="n">
        <f aca="false">F27+E28</f>
        <v>530382.603315514</v>
      </c>
      <c r="G28" s="12" t="n">
        <f aca="false">$B28*Hypotheses!$C$21*Hypotheses!$B$16</f>
        <v>67016.8158730159</v>
      </c>
      <c r="H28" s="12" t="n">
        <f aca="false">Hypotheses!$C$22*Hypotheses!$B$18/12</f>
        <v>2000</v>
      </c>
      <c r="I28" s="42" t="n">
        <f aca="false">G28+H28</f>
        <v>69016.8158730159</v>
      </c>
      <c r="J28" s="12" t="n">
        <f aca="false">J27+I28</f>
        <v>811689.433307877</v>
      </c>
      <c r="K28" s="12" t="n">
        <f aca="false">$B28*Hypotheses!$D$21*Hypotheses!$B$16</f>
        <v>134033.631746032</v>
      </c>
      <c r="L28" s="12" t="n">
        <f aca="false">Hypotheses!$D$22*Hypotheses!$B$18/12</f>
        <v>5000</v>
      </c>
      <c r="M28" s="42" t="n">
        <f aca="false">K28+L28</f>
        <v>139033.631746032</v>
      </c>
      <c r="N28" s="12" t="n">
        <f aca="false">N27+M28</f>
        <v>1650378.86661575</v>
      </c>
    </row>
    <row r="29" customFormat="false" ht="15" hidden="false" customHeight="true" outlineLevel="0" collapsed="false">
      <c r="A29" s="14" t="n">
        <v>28</v>
      </c>
      <c r="B29" s="34" t="n">
        <f aca="false">MAU_mensuel!$K29</f>
        <v>2352349.20634921</v>
      </c>
      <c r="C29" s="12" t="n">
        <f aca="false">$B29*Hypotheses!$B$21*Hypotheses!$B$16</f>
        <v>49234.6688888889</v>
      </c>
      <c r="D29" s="12" t="n">
        <f aca="false">Hypotheses!$B$22*Hypotheses!$B$18/12</f>
        <v>0</v>
      </c>
      <c r="E29" s="42" t="n">
        <f aca="false">C29+D29</f>
        <v>49234.6688888889</v>
      </c>
      <c r="F29" s="12" t="n">
        <f aca="false">F28+E29</f>
        <v>579617.272204403</v>
      </c>
      <c r="G29" s="12" t="n">
        <f aca="false">$B29*Hypotheses!$C$21*Hypotheses!$B$16</f>
        <v>70335.2412698413</v>
      </c>
      <c r="H29" s="12" t="n">
        <f aca="false">Hypotheses!$C$22*Hypotheses!$B$18/12</f>
        <v>2000</v>
      </c>
      <c r="I29" s="42" t="n">
        <f aca="false">G29+H29</f>
        <v>72335.2412698413</v>
      </c>
      <c r="J29" s="12" t="n">
        <f aca="false">J28+I29</f>
        <v>884024.674577718</v>
      </c>
      <c r="K29" s="12" t="n">
        <f aca="false">$B29*Hypotheses!$D$21*Hypotheses!$B$16</f>
        <v>140670.482539683</v>
      </c>
      <c r="L29" s="12" t="n">
        <f aca="false">Hypotheses!$D$22*Hypotheses!$B$18/12</f>
        <v>5000</v>
      </c>
      <c r="M29" s="42" t="n">
        <f aca="false">K29+L29</f>
        <v>145670.482539683</v>
      </c>
      <c r="N29" s="12" t="n">
        <f aca="false">N28+M29</f>
        <v>1796049.34915544</v>
      </c>
    </row>
    <row r="30" customFormat="false" ht="15" hidden="false" customHeight="true" outlineLevel="0" collapsed="false">
      <c r="A30" s="14" t="n">
        <v>29</v>
      </c>
      <c r="B30" s="34" t="n">
        <f aca="false">MAU_mensuel!$K30</f>
        <v>2463333.33333333</v>
      </c>
      <c r="C30" s="12" t="n">
        <f aca="false">$B30*Hypotheses!$B$21*Hypotheses!$B$16</f>
        <v>51557.5666666667</v>
      </c>
      <c r="D30" s="12" t="n">
        <f aca="false">Hypotheses!$B$22*Hypotheses!$B$18/12</f>
        <v>0</v>
      </c>
      <c r="E30" s="42" t="n">
        <f aca="false">C30+D30</f>
        <v>51557.5666666667</v>
      </c>
      <c r="F30" s="12" t="n">
        <f aca="false">F29+E30</f>
        <v>631174.838871069</v>
      </c>
      <c r="G30" s="12" t="n">
        <f aca="false">$B30*Hypotheses!$C$21*Hypotheses!$B$16</f>
        <v>73653.6666666667</v>
      </c>
      <c r="H30" s="12" t="n">
        <f aca="false">Hypotheses!$C$22*Hypotheses!$B$18/12</f>
        <v>2000</v>
      </c>
      <c r="I30" s="42" t="n">
        <f aca="false">G30+H30</f>
        <v>75653.6666666667</v>
      </c>
      <c r="J30" s="12" t="n">
        <f aca="false">J29+I30</f>
        <v>959678.341244385</v>
      </c>
      <c r="K30" s="12" t="n">
        <f aca="false">$B30*Hypotheses!$D$21*Hypotheses!$B$16</f>
        <v>147307.333333333</v>
      </c>
      <c r="L30" s="12" t="n">
        <f aca="false">Hypotheses!$D$22*Hypotheses!$B$18/12</f>
        <v>5000</v>
      </c>
      <c r="M30" s="42" t="n">
        <f aca="false">K30+L30</f>
        <v>152307.333333333</v>
      </c>
      <c r="N30" s="12" t="n">
        <f aca="false">N29+M30</f>
        <v>1948356.68248877</v>
      </c>
    </row>
    <row r="31" customFormat="false" ht="15" hidden="false" customHeight="true" outlineLevel="0" collapsed="false">
      <c r="A31" s="14" t="n">
        <v>30</v>
      </c>
      <c r="B31" s="34" t="n">
        <f aca="false">MAU_mensuel!$K31</f>
        <v>2586000</v>
      </c>
      <c r="C31" s="12" t="n">
        <f aca="false">$B31*Hypotheses!$B$21*Hypotheses!$B$16</f>
        <v>54124.98</v>
      </c>
      <c r="D31" s="12" t="n">
        <f aca="false">Hypotheses!$B$22*Hypotheses!$B$18/12</f>
        <v>0</v>
      </c>
      <c r="E31" s="42" t="n">
        <f aca="false">C31+D31</f>
        <v>54124.98</v>
      </c>
      <c r="F31" s="12" t="n">
        <f aca="false">F30+E31</f>
        <v>685299.818871069</v>
      </c>
      <c r="G31" s="12" t="n">
        <f aca="false">$B31*Hypotheses!$C$21*Hypotheses!$B$16</f>
        <v>77321.4</v>
      </c>
      <c r="H31" s="12" t="n">
        <f aca="false">Hypotheses!$C$22*Hypotheses!$B$18/12</f>
        <v>2000</v>
      </c>
      <c r="I31" s="42" t="n">
        <f aca="false">G31+H31</f>
        <v>79321.4</v>
      </c>
      <c r="J31" s="12" t="n">
        <f aca="false">J30+I31</f>
        <v>1038999.74124438</v>
      </c>
      <c r="K31" s="12" t="n">
        <f aca="false">$B31*Hypotheses!$D$21*Hypotheses!$B$16</f>
        <v>154642.8</v>
      </c>
      <c r="L31" s="12" t="n">
        <f aca="false">Hypotheses!$D$22*Hypotheses!$B$18/12</f>
        <v>5000</v>
      </c>
      <c r="M31" s="42" t="n">
        <f aca="false">K31+L31</f>
        <v>159642.8</v>
      </c>
      <c r="N31" s="12" t="n">
        <f aca="false">N30+M31</f>
        <v>2107999.48248877</v>
      </c>
    </row>
    <row r="32" customFormat="false" ht="15" hidden="false" customHeight="true" outlineLevel="0" collapsed="false">
      <c r="A32" s="14" t="n">
        <v>31</v>
      </c>
      <c r="B32" s="34" t="n">
        <f aca="false">MAU_mensuel!$K32</f>
        <v>2721666.66666667</v>
      </c>
      <c r="C32" s="12" t="n">
        <f aca="false">$B32*Hypotheses!$B$21*Hypotheses!$B$16</f>
        <v>56964.4833333333</v>
      </c>
      <c r="D32" s="12" t="n">
        <f aca="false">Hypotheses!$B$22*Hypotheses!$B$18/12</f>
        <v>0</v>
      </c>
      <c r="E32" s="42" t="n">
        <f aca="false">C32+D32</f>
        <v>56964.4833333333</v>
      </c>
      <c r="F32" s="12" t="n">
        <f aca="false">F31+E32</f>
        <v>742264.302204403</v>
      </c>
      <c r="G32" s="12" t="n">
        <f aca="false">$B32*Hypotheses!$C$21*Hypotheses!$B$16</f>
        <v>81377.8333333333</v>
      </c>
      <c r="H32" s="12" t="n">
        <f aca="false">Hypotheses!$C$22*Hypotheses!$B$18/12</f>
        <v>2000</v>
      </c>
      <c r="I32" s="42" t="n">
        <f aca="false">G32+H32</f>
        <v>83377.8333333333</v>
      </c>
      <c r="J32" s="12" t="n">
        <f aca="false">J31+I32</f>
        <v>1122377.57457772</v>
      </c>
      <c r="K32" s="12" t="n">
        <f aca="false">$B32*Hypotheses!$D$21*Hypotheses!$B$16</f>
        <v>162755.666666667</v>
      </c>
      <c r="L32" s="12" t="n">
        <f aca="false">Hypotheses!$D$22*Hypotheses!$B$18/12</f>
        <v>5000</v>
      </c>
      <c r="M32" s="42" t="n">
        <f aca="false">K32+L32</f>
        <v>167755.666666667</v>
      </c>
      <c r="N32" s="12" t="n">
        <f aca="false">N31+M32</f>
        <v>2275755.14915544</v>
      </c>
    </row>
    <row r="33" customFormat="false" ht="15" hidden="false" customHeight="true" outlineLevel="0" collapsed="false">
      <c r="A33" s="14" t="n">
        <v>32</v>
      </c>
      <c r="B33" s="34" t="n">
        <f aca="false">MAU_mensuel!$K33</f>
        <v>2850873.01587302</v>
      </c>
      <c r="C33" s="12" t="n">
        <f aca="false">$B33*Hypotheses!$B$21*Hypotheses!$B$16</f>
        <v>59668.7722222222</v>
      </c>
      <c r="D33" s="12" t="n">
        <f aca="false">Hypotheses!$B$22*Hypotheses!$B$18/12</f>
        <v>0</v>
      </c>
      <c r="E33" s="42" t="n">
        <f aca="false">C33+D33</f>
        <v>59668.7722222222</v>
      </c>
      <c r="F33" s="12" t="n">
        <f aca="false">F32+E33</f>
        <v>801933.074426625</v>
      </c>
      <c r="G33" s="12" t="n">
        <f aca="false">$B33*Hypotheses!$C$21*Hypotheses!$B$16</f>
        <v>85241.1031746032</v>
      </c>
      <c r="H33" s="12" t="n">
        <f aca="false">Hypotheses!$C$22*Hypotheses!$B$18/12</f>
        <v>2000</v>
      </c>
      <c r="I33" s="42" t="n">
        <f aca="false">G33+H33</f>
        <v>87241.1031746032</v>
      </c>
      <c r="J33" s="12" t="n">
        <f aca="false">J32+I33</f>
        <v>1209618.67775232</v>
      </c>
      <c r="K33" s="12" t="n">
        <f aca="false">$B33*Hypotheses!$D$21*Hypotheses!$B$16</f>
        <v>170482.206349206</v>
      </c>
      <c r="L33" s="12" t="n">
        <f aca="false">Hypotheses!$D$22*Hypotheses!$B$18/12</f>
        <v>5000</v>
      </c>
      <c r="M33" s="42" t="n">
        <f aca="false">K33+L33</f>
        <v>175482.206349206</v>
      </c>
      <c r="N33" s="12" t="n">
        <f aca="false">N32+M33</f>
        <v>2451237.35550464</v>
      </c>
    </row>
    <row r="34" customFormat="false" ht="15" hidden="false" customHeight="true" outlineLevel="0" collapsed="false">
      <c r="A34" s="14" t="n">
        <v>33</v>
      </c>
      <c r="B34" s="34" t="n">
        <f aca="false">MAU_mensuel!$K34</f>
        <v>2999460.31746032</v>
      </c>
      <c r="C34" s="12" t="n">
        <f aca="false">$B34*Hypotheses!$B$21*Hypotheses!$B$16</f>
        <v>62778.7044444445</v>
      </c>
      <c r="D34" s="12" t="n">
        <f aca="false">Hypotheses!$B$22*Hypotheses!$B$18/12</f>
        <v>0</v>
      </c>
      <c r="E34" s="42" t="n">
        <f aca="false">C34+D34</f>
        <v>62778.7044444445</v>
      </c>
      <c r="F34" s="12" t="n">
        <f aca="false">F33+E34</f>
        <v>864711.778871069</v>
      </c>
      <c r="G34" s="12" t="n">
        <f aca="false">$B34*Hypotheses!$C$21*Hypotheses!$B$16</f>
        <v>89683.8634920635</v>
      </c>
      <c r="H34" s="12" t="n">
        <f aca="false">Hypotheses!$C$22*Hypotheses!$B$18/12</f>
        <v>2000</v>
      </c>
      <c r="I34" s="42" t="n">
        <f aca="false">G34+H34</f>
        <v>91683.8634920635</v>
      </c>
      <c r="J34" s="12" t="n">
        <f aca="false">J33+I34</f>
        <v>1301302.54124438</v>
      </c>
      <c r="K34" s="12" t="n">
        <f aca="false">$B34*Hypotheses!$D$21*Hypotheses!$B$16</f>
        <v>179367.726984127</v>
      </c>
      <c r="L34" s="12" t="n">
        <f aca="false">Hypotheses!$D$22*Hypotheses!$B$18/12</f>
        <v>5000</v>
      </c>
      <c r="M34" s="42" t="n">
        <f aca="false">K34+L34</f>
        <v>184367.726984127</v>
      </c>
      <c r="N34" s="12" t="n">
        <f aca="false">N33+M34</f>
        <v>2635605.08248877</v>
      </c>
    </row>
    <row r="35" customFormat="false" ht="15" hidden="false" customHeight="true" outlineLevel="0" collapsed="false">
      <c r="A35" s="14" t="n">
        <v>34</v>
      </c>
      <c r="B35" s="34" t="n">
        <f aca="false">MAU_mensuel!$K35</f>
        <v>3148047.61904762</v>
      </c>
      <c r="C35" s="12" t="n">
        <f aca="false">$B35*Hypotheses!$B$21*Hypotheses!$B$16</f>
        <v>65888.6366666667</v>
      </c>
      <c r="D35" s="12" t="n">
        <f aca="false">Hypotheses!$B$22*Hypotheses!$B$18/12</f>
        <v>0</v>
      </c>
      <c r="E35" s="42" t="n">
        <f aca="false">C35+D35</f>
        <v>65888.6366666667</v>
      </c>
      <c r="F35" s="12" t="n">
        <f aca="false">F34+E35</f>
        <v>930600.415537736</v>
      </c>
      <c r="G35" s="12" t="n">
        <f aca="false">$B35*Hypotheses!$C$21*Hypotheses!$B$16</f>
        <v>94126.6238095238</v>
      </c>
      <c r="H35" s="12" t="n">
        <f aca="false">Hypotheses!$C$22*Hypotheses!$B$18/12</f>
        <v>2000</v>
      </c>
      <c r="I35" s="42" t="n">
        <f aca="false">G35+H35</f>
        <v>96126.6238095238</v>
      </c>
      <c r="J35" s="12" t="n">
        <f aca="false">J34+I35</f>
        <v>1397429.16505391</v>
      </c>
      <c r="K35" s="12" t="n">
        <f aca="false">$B35*Hypotheses!$D$21*Hypotheses!$B$16</f>
        <v>188253.247619048</v>
      </c>
      <c r="L35" s="12" t="n">
        <f aca="false">Hypotheses!$D$22*Hypotheses!$B$18/12</f>
        <v>5000</v>
      </c>
      <c r="M35" s="42" t="n">
        <f aca="false">K35+L35</f>
        <v>193253.247619048</v>
      </c>
      <c r="N35" s="12" t="n">
        <f aca="false">N34+M35</f>
        <v>2828858.33010782</v>
      </c>
    </row>
    <row r="36" customFormat="false" ht="15" hidden="false" customHeight="true" outlineLevel="0" collapsed="false">
      <c r="A36" s="14" t="n">
        <v>35</v>
      </c>
      <c r="B36" s="34" t="n">
        <f aca="false">MAU_mensuel!$K36</f>
        <v>3270793.65079365</v>
      </c>
      <c r="C36" s="12" t="n">
        <f aca="false">$B36*Hypotheses!$B$21*Hypotheses!$B$16</f>
        <v>68457.7111111111</v>
      </c>
      <c r="D36" s="12" t="n">
        <f aca="false">Hypotheses!$B$22*Hypotheses!$B$18/12</f>
        <v>0</v>
      </c>
      <c r="E36" s="42" t="n">
        <f aca="false">C36+D36</f>
        <v>68457.7111111111</v>
      </c>
      <c r="F36" s="12" t="n">
        <f aca="false">F35+E36</f>
        <v>999058.126648847</v>
      </c>
      <c r="G36" s="12" t="n">
        <f aca="false">$B36*Hypotheses!$C$21*Hypotheses!$B$16</f>
        <v>97796.7301587302</v>
      </c>
      <c r="H36" s="12" t="n">
        <f aca="false">Hypotheses!$C$22*Hypotheses!$B$18/12</f>
        <v>2000</v>
      </c>
      <c r="I36" s="42" t="n">
        <f aca="false">G36+H36</f>
        <v>99796.7301587302</v>
      </c>
      <c r="J36" s="12" t="n">
        <f aca="false">J35+I36</f>
        <v>1497225.89521264</v>
      </c>
      <c r="K36" s="12" t="n">
        <f aca="false">$B36*Hypotheses!$D$21*Hypotheses!$B$16</f>
        <v>195593.46031746</v>
      </c>
      <c r="L36" s="12" t="n">
        <f aca="false">Hypotheses!$D$22*Hypotheses!$B$18/12</f>
        <v>5000</v>
      </c>
      <c r="M36" s="42" t="n">
        <f aca="false">K36+L36</f>
        <v>200593.46031746</v>
      </c>
      <c r="N36" s="12" t="n">
        <f aca="false">N35+M36</f>
        <v>3029451.79042528</v>
      </c>
    </row>
    <row r="37" customFormat="false" ht="15" hidden="false" customHeight="true" outlineLevel="0" collapsed="false">
      <c r="A37" s="14" t="n">
        <v>36</v>
      </c>
      <c r="B37" s="34" t="n">
        <f aca="false">MAU_mensuel!$K37</f>
        <v>3400000</v>
      </c>
      <c r="C37" s="12" t="n">
        <f aca="false">$B37*Hypotheses!$B$21*Hypotheses!$B$16</f>
        <v>71162</v>
      </c>
      <c r="D37" s="12" t="n">
        <f aca="false">Hypotheses!$B$22*Hypotheses!$B$18/12</f>
        <v>0</v>
      </c>
      <c r="E37" s="42" t="n">
        <f aca="false">C37+D37</f>
        <v>71162</v>
      </c>
      <c r="F37" s="12" t="n">
        <f aca="false">F36+E37</f>
        <v>1070220.12664885</v>
      </c>
      <c r="G37" s="12" t="n">
        <f aca="false">$B37*Hypotheses!$C$21*Hypotheses!$B$16</f>
        <v>101660</v>
      </c>
      <c r="H37" s="12" t="n">
        <f aca="false">Hypotheses!$C$22*Hypotheses!$B$18/12</f>
        <v>2000</v>
      </c>
      <c r="I37" s="42" t="n">
        <f aca="false">G37+H37</f>
        <v>103660</v>
      </c>
      <c r="J37" s="12" t="n">
        <f aca="false">J36+I37</f>
        <v>1600885.89521264</v>
      </c>
      <c r="K37" s="12" t="n">
        <f aca="false">$B37*Hypotheses!$D$21*Hypotheses!$B$16</f>
        <v>203320</v>
      </c>
      <c r="L37" s="12" t="n">
        <f aca="false">Hypotheses!$D$22*Hypotheses!$B$18/12</f>
        <v>5000</v>
      </c>
      <c r="M37" s="42" t="n">
        <f aca="false">K37+L37</f>
        <v>208320</v>
      </c>
      <c r="N37" s="12" t="n">
        <f aca="false">N36+M37</f>
        <v>3237771.79042528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1" width="16"/>
    <col collapsed="false" customWidth="true" hidden="false" outlineLevel="0" max="4" min="4" style="1" width="12"/>
    <col collapsed="false" customWidth="true" hidden="false" outlineLevel="0" max="6" min="5" style="1" width="16"/>
    <col collapsed="false" customWidth="true" hidden="false" outlineLevel="0" max="7" min="7" style="1" width="12"/>
    <col collapsed="false" customWidth="true" hidden="false" outlineLevel="0" max="9" min="8" style="1" width="16"/>
    <col collapsed="false" customWidth="true" hidden="false" outlineLevel="0" max="10" min="10" style="1" width="12"/>
    <col collapsed="false" customWidth="true" hidden="false" outlineLevel="0" max="11" min="11" style="1" width="20"/>
  </cols>
  <sheetData>
    <row r="1" customFormat="false" ht="17.25" hidden="false" customHeight="true" outlineLevel="0" collapsed="false">
      <c r="A1" s="2" t="s">
        <v>123</v>
      </c>
    </row>
    <row r="3" customFormat="false" ht="15" hidden="false" customHeight="true" outlineLevel="0" collapsed="false">
      <c r="A3" s="4" t="s">
        <v>124</v>
      </c>
      <c r="B3" s="5"/>
      <c r="C3" s="5"/>
      <c r="D3" s="5"/>
      <c r="E3" s="5"/>
      <c r="F3" s="5"/>
      <c r="G3" s="5"/>
      <c r="H3" s="5"/>
      <c r="I3" s="5"/>
      <c r="J3" s="5"/>
      <c r="K3" s="5"/>
    </row>
    <row r="4" customFormat="false" ht="26.25" hidden="false" customHeight="true" outlineLevel="0" collapsed="false">
      <c r="A4" s="33" t="s">
        <v>125</v>
      </c>
      <c r="B4" s="33" t="s">
        <v>126</v>
      </c>
      <c r="C4" s="33" t="s">
        <v>127</v>
      </c>
      <c r="D4" s="33" t="s">
        <v>128</v>
      </c>
      <c r="E4" s="33" t="s">
        <v>129</v>
      </c>
      <c r="F4" s="33" t="s">
        <v>130</v>
      </c>
      <c r="G4" s="33" t="s">
        <v>131</v>
      </c>
      <c r="H4" s="33" t="s">
        <v>132</v>
      </c>
      <c r="I4" s="33" t="s">
        <v>133</v>
      </c>
      <c r="J4" s="33" t="s">
        <v>134</v>
      </c>
      <c r="K4" s="33" t="s">
        <v>135</v>
      </c>
    </row>
    <row r="5" customFormat="false" ht="15" hidden="false" customHeight="true" outlineLevel="0" collapsed="false">
      <c r="A5" s="43" t="s">
        <v>12</v>
      </c>
      <c r="B5" s="12" t="n">
        <f aca="false">Revenus!F13</f>
        <v>76234.8255377359</v>
      </c>
      <c r="C5" s="12" t="n">
        <f aca="false">Couts!M13</f>
        <v>260153.673668014</v>
      </c>
      <c r="D5" s="44" t="n">
        <f aca="false">(B5-C5)/C5</f>
        <v>-0.706962333213022</v>
      </c>
      <c r="E5" s="12" t="n">
        <f aca="false">Revenus!F25</f>
        <v>398083.076648847</v>
      </c>
      <c r="F5" s="12" t="n">
        <f aca="false">Couts!M25</f>
        <v>554269.177900819</v>
      </c>
      <c r="G5" s="44" t="n">
        <f aca="false">(E5-F5)/F5</f>
        <v>-0.281787455408389</v>
      </c>
      <c r="H5" s="12" t="n">
        <f aca="false">Revenus!F37</f>
        <v>1070220.12664885</v>
      </c>
      <c r="I5" s="12" t="n">
        <f aca="false">Couts!M37</f>
        <v>1090780.73742463</v>
      </c>
      <c r="J5" s="44" t="n">
        <f aca="false">(H5-I5)/I5</f>
        <v>-0.0188494443203365</v>
      </c>
      <c r="K5" s="10" t="str">
        <f aca="false">IFERROR(MATCH(1,B11:B46,0),"Non atteint sur 36 mois")</f>
        <v>Non atteint sur 36 mois</v>
      </c>
    </row>
    <row r="6" customFormat="false" ht="15" hidden="false" customHeight="true" outlineLevel="0" collapsed="false">
      <c r="A6" s="43" t="s">
        <v>13</v>
      </c>
      <c r="B6" s="12" t="n">
        <f aca="false">Revenus!J13</f>
        <v>132906.893625337</v>
      </c>
      <c r="C6" s="12" t="n">
        <f aca="false">Couts!M13</f>
        <v>260153.673668014</v>
      </c>
      <c r="D6" s="44" t="n">
        <f aca="false">(B6-C6)/C6</f>
        <v>-0.489121595895889</v>
      </c>
      <c r="E6" s="12" t="n">
        <f aca="false">Revenus!J25</f>
        <v>616690.109498353</v>
      </c>
      <c r="F6" s="12" t="n">
        <f aca="false">Couts!M25</f>
        <v>554269.177900819</v>
      </c>
      <c r="G6" s="44" t="n">
        <f aca="false">(E6-F6)/F6</f>
        <v>0.112618442602096</v>
      </c>
      <c r="H6" s="12" t="n">
        <f aca="false">Revenus!J37</f>
        <v>1600885.89521264</v>
      </c>
      <c r="I6" s="12" t="n">
        <f aca="false">Couts!M37</f>
        <v>1090780.73742463</v>
      </c>
      <c r="J6" s="44" t="n">
        <f aca="false">(H6-I6)/I6</f>
        <v>0.46765141727052</v>
      </c>
      <c r="K6" s="10" t="n">
        <f aca="false">IFERROR(MATCH(1,C11:C46,0),"Non atteint sur 36 mois")</f>
        <v>22</v>
      </c>
    </row>
    <row r="7" customFormat="false" ht="15" hidden="false" customHeight="true" outlineLevel="0" collapsed="false">
      <c r="A7" s="43" t="s">
        <v>14</v>
      </c>
      <c r="B7" s="12" t="n">
        <f aca="false">Revenus!N13</f>
        <v>277813.787250674</v>
      </c>
      <c r="C7" s="12" t="n">
        <f aca="false">Couts!M13</f>
        <v>260153.673668014</v>
      </c>
      <c r="D7" s="44" t="n">
        <f aca="false">(B7-C7)/C7</f>
        <v>0.0678833911267223</v>
      </c>
      <c r="E7" s="12" t="n">
        <f aca="false">Revenus!N25</f>
        <v>1257380.21899671</v>
      </c>
      <c r="F7" s="12" t="n">
        <f aca="false">Couts!M25</f>
        <v>554269.177900819</v>
      </c>
      <c r="G7" s="44" t="n">
        <f aca="false">(E7-F7)/F7</f>
        <v>1.26853714608266</v>
      </c>
      <c r="H7" s="12" t="n">
        <f aca="false">Revenus!N37</f>
        <v>3237771.79042528</v>
      </c>
      <c r="I7" s="12" t="n">
        <f aca="false">Couts!M37</f>
        <v>1090780.73742463</v>
      </c>
      <c r="J7" s="44" t="n">
        <f aca="false">(H7-I7)/I7</f>
        <v>1.96830671769083</v>
      </c>
      <c r="K7" s="10" t="n">
        <f aca="false">IFERROR(MATCH(1,D11:D46,0),"Non atteint sur 36 mois")</f>
        <v>12</v>
      </c>
    </row>
    <row r="9" customFormat="false" ht="15" hidden="false" customHeight="true" outlineLevel="0" collapsed="false">
      <c r="A9" s="4" t="s">
        <v>136</v>
      </c>
      <c r="B9" s="5"/>
      <c r="C9" s="5"/>
      <c r="D9" s="5"/>
      <c r="E9" s="5"/>
      <c r="F9" s="5"/>
      <c r="G9" s="5"/>
      <c r="H9" s="5"/>
      <c r="I9" s="5"/>
      <c r="J9" s="5"/>
      <c r="K9" s="5"/>
    </row>
    <row r="10" customFormat="false" ht="39" hidden="false" customHeight="true" outlineLevel="0" collapsed="false">
      <c r="A10" s="13" t="s">
        <v>3</v>
      </c>
      <c r="B10" s="33" t="s">
        <v>137</v>
      </c>
      <c r="C10" s="33" t="s">
        <v>138</v>
      </c>
      <c r="D10" s="33" t="s">
        <v>139</v>
      </c>
    </row>
    <row r="11" customFormat="false" ht="15" hidden="false" customHeight="true" outlineLevel="0" collapsed="false">
      <c r="A11" s="14" t="n">
        <v>1</v>
      </c>
      <c r="B11" s="45" t="n">
        <f aca="false">IF(Revenus!F2&gt;=Couts!M2,1,0)</f>
        <v>0</v>
      </c>
      <c r="C11" s="45" t="n">
        <f aca="false">IF(Revenus!J2&gt;=Couts!M2,1,0)</f>
        <v>0</v>
      </c>
      <c r="D11" s="45" t="n">
        <f aca="false">IF(Revenus!N2&gt;=Couts!M2,1,0)</f>
        <v>0</v>
      </c>
    </row>
    <row r="12" customFormat="false" ht="15" hidden="false" customHeight="true" outlineLevel="0" collapsed="false">
      <c r="A12" s="14" t="n">
        <v>2</v>
      </c>
      <c r="B12" s="45" t="n">
        <f aca="false">IF(Revenus!F3&gt;=Couts!M3,1,0)</f>
        <v>0</v>
      </c>
      <c r="C12" s="45" t="n">
        <f aca="false">IF(Revenus!J3&gt;=Couts!M3,1,0)</f>
        <v>0</v>
      </c>
      <c r="D12" s="45" t="n">
        <f aca="false">IF(Revenus!N3&gt;=Couts!M3,1,0)</f>
        <v>0</v>
      </c>
    </row>
    <row r="13" customFormat="false" ht="15" hidden="false" customHeight="true" outlineLevel="0" collapsed="false">
      <c r="A13" s="14" t="n">
        <v>3</v>
      </c>
      <c r="B13" s="45" t="n">
        <f aca="false">IF(Revenus!F4&gt;=Couts!M4,1,0)</f>
        <v>0</v>
      </c>
      <c r="C13" s="45" t="n">
        <f aca="false">IF(Revenus!J4&gt;=Couts!M4,1,0)</f>
        <v>0</v>
      </c>
      <c r="D13" s="45" t="n">
        <f aca="false">IF(Revenus!N4&gt;=Couts!M4,1,0)</f>
        <v>0</v>
      </c>
    </row>
    <row r="14" customFormat="false" ht="15" hidden="false" customHeight="true" outlineLevel="0" collapsed="false">
      <c r="A14" s="14" t="n">
        <v>4</v>
      </c>
      <c r="B14" s="45" t="n">
        <f aca="false">IF(Revenus!F5&gt;=Couts!M5,1,0)</f>
        <v>0</v>
      </c>
      <c r="C14" s="45" t="n">
        <f aca="false">IF(Revenus!J5&gt;=Couts!M5,1,0)</f>
        <v>0</v>
      </c>
      <c r="D14" s="45" t="n">
        <f aca="false">IF(Revenus!N5&gt;=Couts!M5,1,0)</f>
        <v>0</v>
      </c>
    </row>
    <row r="15" customFormat="false" ht="15" hidden="false" customHeight="true" outlineLevel="0" collapsed="false">
      <c r="A15" s="14" t="n">
        <v>5</v>
      </c>
      <c r="B15" s="45" t="n">
        <f aca="false">IF(Revenus!F6&gt;=Couts!M6,1,0)</f>
        <v>0</v>
      </c>
      <c r="C15" s="45" t="n">
        <f aca="false">IF(Revenus!J6&gt;=Couts!M6,1,0)</f>
        <v>0</v>
      </c>
      <c r="D15" s="45" t="n">
        <f aca="false">IF(Revenus!N6&gt;=Couts!M6,1,0)</f>
        <v>0</v>
      </c>
    </row>
    <row r="16" customFormat="false" ht="15" hidden="false" customHeight="true" outlineLevel="0" collapsed="false">
      <c r="A16" s="14" t="n">
        <v>6</v>
      </c>
      <c r="B16" s="45" t="n">
        <f aca="false">IF(Revenus!F7&gt;=Couts!M7,1,0)</f>
        <v>0</v>
      </c>
      <c r="C16" s="45" t="n">
        <f aca="false">IF(Revenus!J7&gt;=Couts!M7,1,0)</f>
        <v>0</v>
      </c>
      <c r="D16" s="45" t="n">
        <f aca="false">IF(Revenus!N7&gt;=Couts!M7,1,0)</f>
        <v>0</v>
      </c>
    </row>
    <row r="17" customFormat="false" ht="15" hidden="false" customHeight="true" outlineLevel="0" collapsed="false">
      <c r="A17" s="14" t="n">
        <v>7</v>
      </c>
      <c r="B17" s="45" t="n">
        <f aca="false">IF(Revenus!F8&gt;=Couts!M8,1,0)</f>
        <v>0</v>
      </c>
      <c r="C17" s="45" t="n">
        <f aca="false">IF(Revenus!J8&gt;=Couts!M8,1,0)</f>
        <v>0</v>
      </c>
      <c r="D17" s="45" t="n">
        <f aca="false">IF(Revenus!N8&gt;=Couts!M8,1,0)</f>
        <v>0</v>
      </c>
    </row>
    <row r="18" customFormat="false" ht="15" hidden="false" customHeight="true" outlineLevel="0" collapsed="false">
      <c r="A18" s="14" t="n">
        <v>8</v>
      </c>
      <c r="B18" s="45" t="n">
        <f aca="false">IF(Revenus!F9&gt;=Couts!M9,1,0)</f>
        <v>0</v>
      </c>
      <c r="C18" s="45" t="n">
        <f aca="false">IF(Revenus!J9&gt;=Couts!M9,1,0)</f>
        <v>0</v>
      </c>
      <c r="D18" s="45" t="n">
        <f aca="false">IF(Revenus!N9&gt;=Couts!M9,1,0)</f>
        <v>0</v>
      </c>
    </row>
    <row r="19" customFormat="false" ht="15" hidden="false" customHeight="true" outlineLevel="0" collapsed="false">
      <c r="A19" s="14" t="n">
        <v>9</v>
      </c>
      <c r="B19" s="45" t="n">
        <f aca="false">IF(Revenus!F10&gt;=Couts!M10,1,0)</f>
        <v>0</v>
      </c>
      <c r="C19" s="45" t="n">
        <f aca="false">IF(Revenus!J10&gt;=Couts!M10,1,0)</f>
        <v>0</v>
      </c>
      <c r="D19" s="45" t="n">
        <f aca="false">IF(Revenus!N10&gt;=Couts!M10,1,0)</f>
        <v>0</v>
      </c>
    </row>
    <row r="20" customFormat="false" ht="15" hidden="false" customHeight="true" outlineLevel="0" collapsed="false">
      <c r="A20" s="14" t="n">
        <v>10</v>
      </c>
      <c r="B20" s="45" t="n">
        <f aca="false">IF(Revenus!F11&gt;=Couts!M11,1,0)</f>
        <v>0</v>
      </c>
      <c r="C20" s="45" t="n">
        <f aca="false">IF(Revenus!J11&gt;=Couts!M11,1,0)</f>
        <v>0</v>
      </c>
      <c r="D20" s="45" t="n">
        <f aca="false">IF(Revenus!N11&gt;=Couts!M11,1,0)</f>
        <v>0</v>
      </c>
    </row>
    <row r="21" customFormat="false" ht="15" hidden="false" customHeight="true" outlineLevel="0" collapsed="false">
      <c r="A21" s="14" t="n">
        <v>11</v>
      </c>
      <c r="B21" s="45" t="n">
        <f aca="false">IF(Revenus!F12&gt;=Couts!M12,1,0)</f>
        <v>0</v>
      </c>
      <c r="C21" s="45" t="n">
        <f aca="false">IF(Revenus!J12&gt;=Couts!M12,1,0)</f>
        <v>0</v>
      </c>
      <c r="D21" s="45" t="n">
        <f aca="false">IF(Revenus!N12&gt;=Couts!M12,1,0)</f>
        <v>0</v>
      </c>
    </row>
    <row r="22" customFormat="false" ht="15" hidden="false" customHeight="true" outlineLevel="0" collapsed="false">
      <c r="A22" s="14" t="n">
        <v>12</v>
      </c>
      <c r="B22" s="45" t="n">
        <f aca="false">IF(Revenus!F13&gt;=Couts!M13,1,0)</f>
        <v>0</v>
      </c>
      <c r="C22" s="45" t="n">
        <f aca="false">IF(Revenus!J13&gt;=Couts!M13,1,0)</f>
        <v>0</v>
      </c>
      <c r="D22" s="45" t="n">
        <f aca="false">IF(Revenus!N13&gt;=Couts!M13,1,0)</f>
        <v>1</v>
      </c>
    </row>
    <row r="23" customFormat="false" ht="15" hidden="false" customHeight="true" outlineLevel="0" collapsed="false">
      <c r="A23" s="14" t="n">
        <v>13</v>
      </c>
      <c r="B23" s="45" t="n">
        <f aca="false">IF(Revenus!F14&gt;=Couts!M14,1,0)</f>
        <v>0</v>
      </c>
      <c r="C23" s="45" t="n">
        <f aca="false">IF(Revenus!J14&gt;=Couts!M14,1,0)</f>
        <v>0</v>
      </c>
      <c r="D23" s="45" t="n">
        <f aca="false">IF(Revenus!N14&gt;=Couts!M14,1,0)</f>
        <v>1</v>
      </c>
    </row>
    <row r="24" customFormat="false" ht="15" hidden="false" customHeight="true" outlineLevel="0" collapsed="false">
      <c r="A24" s="14" t="n">
        <v>14</v>
      </c>
      <c r="B24" s="45" t="n">
        <f aca="false">IF(Revenus!F15&gt;=Couts!M15,1,0)</f>
        <v>0</v>
      </c>
      <c r="C24" s="45" t="n">
        <f aca="false">IF(Revenus!J15&gt;=Couts!M15,1,0)</f>
        <v>0</v>
      </c>
      <c r="D24" s="45" t="n">
        <f aca="false">IF(Revenus!N15&gt;=Couts!M15,1,0)</f>
        <v>1</v>
      </c>
    </row>
    <row r="25" customFormat="false" ht="15" hidden="false" customHeight="true" outlineLevel="0" collapsed="false">
      <c r="A25" s="14" t="n">
        <v>15</v>
      </c>
      <c r="B25" s="45" t="n">
        <f aca="false">IF(Revenus!F16&gt;=Couts!M16,1,0)</f>
        <v>0</v>
      </c>
      <c r="C25" s="45" t="n">
        <f aca="false">IF(Revenus!J16&gt;=Couts!M16,1,0)</f>
        <v>0</v>
      </c>
      <c r="D25" s="45" t="n">
        <f aca="false">IF(Revenus!N16&gt;=Couts!M16,1,0)</f>
        <v>1</v>
      </c>
    </row>
    <row r="26" customFormat="false" ht="15" hidden="false" customHeight="true" outlineLevel="0" collapsed="false">
      <c r="A26" s="14" t="n">
        <v>16</v>
      </c>
      <c r="B26" s="45" t="n">
        <f aca="false">IF(Revenus!F17&gt;=Couts!M17,1,0)</f>
        <v>0</v>
      </c>
      <c r="C26" s="45" t="n">
        <f aca="false">IF(Revenus!J17&gt;=Couts!M17,1,0)</f>
        <v>0</v>
      </c>
      <c r="D26" s="45" t="n">
        <f aca="false">IF(Revenus!N17&gt;=Couts!M17,1,0)</f>
        <v>1</v>
      </c>
    </row>
    <row r="27" customFormat="false" ht="15" hidden="false" customHeight="true" outlineLevel="0" collapsed="false">
      <c r="A27" s="14" t="n">
        <v>17</v>
      </c>
      <c r="B27" s="45" t="n">
        <f aca="false">IF(Revenus!F18&gt;=Couts!M18,1,0)</f>
        <v>0</v>
      </c>
      <c r="C27" s="45" t="n">
        <f aca="false">IF(Revenus!J18&gt;=Couts!M18,1,0)</f>
        <v>0</v>
      </c>
      <c r="D27" s="45" t="n">
        <f aca="false">IF(Revenus!N18&gt;=Couts!M18,1,0)</f>
        <v>1</v>
      </c>
    </row>
    <row r="28" customFormat="false" ht="15" hidden="false" customHeight="true" outlineLevel="0" collapsed="false">
      <c r="A28" s="14" t="n">
        <v>18</v>
      </c>
      <c r="B28" s="45" t="n">
        <f aca="false">IF(Revenus!F19&gt;=Couts!M19,1,0)</f>
        <v>0</v>
      </c>
      <c r="C28" s="45" t="n">
        <f aca="false">IF(Revenus!J19&gt;=Couts!M19,1,0)</f>
        <v>0</v>
      </c>
      <c r="D28" s="45" t="n">
        <f aca="false">IF(Revenus!N19&gt;=Couts!M19,1,0)</f>
        <v>1</v>
      </c>
    </row>
    <row r="29" customFormat="false" ht="15" hidden="false" customHeight="true" outlineLevel="0" collapsed="false">
      <c r="A29" s="14" t="n">
        <v>19</v>
      </c>
      <c r="B29" s="45" t="n">
        <f aca="false">IF(Revenus!F20&gt;=Couts!M20,1,0)</f>
        <v>0</v>
      </c>
      <c r="C29" s="45" t="n">
        <f aca="false">IF(Revenus!J20&gt;=Couts!M20,1,0)</f>
        <v>0</v>
      </c>
      <c r="D29" s="45" t="n">
        <f aca="false">IF(Revenus!N20&gt;=Couts!M20,1,0)</f>
        <v>1</v>
      </c>
    </row>
    <row r="30" customFormat="false" ht="15" hidden="false" customHeight="true" outlineLevel="0" collapsed="false">
      <c r="A30" s="14" t="n">
        <v>20</v>
      </c>
      <c r="B30" s="45" t="n">
        <f aca="false">IF(Revenus!F21&gt;=Couts!M21,1,0)</f>
        <v>0</v>
      </c>
      <c r="C30" s="45" t="n">
        <f aca="false">IF(Revenus!J21&gt;=Couts!M21,1,0)</f>
        <v>0</v>
      </c>
      <c r="D30" s="45" t="n">
        <f aca="false">IF(Revenus!N21&gt;=Couts!M21,1,0)</f>
        <v>1</v>
      </c>
    </row>
    <row r="31" customFormat="false" ht="15" hidden="false" customHeight="true" outlineLevel="0" collapsed="false">
      <c r="A31" s="14" t="n">
        <v>21</v>
      </c>
      <c r="B31" s="45" t="n">
        <f aca="false">IF(Revenus!F22&gt;=Couts!M22,1,0)</f>
        <v>0</v>
      </c>
      <c r="C31" s="45" t="n">
        <f aca="false">IF(Revenus!J22&gt;=Couts!M22,1,0)</f>
        <v>0</v>
      </c>
      <c r="D31" s="45" t="n">
        <f aca="false">IF(Revenus!N22&gt;=Couts!M22,1,0)</f>
        <v>1</v>
      </c>
    </row>
    <row r="32" customFormat="false" ht="15" hidden="false" customHeight="true" outlineLevel="0" collapsed="false">
      <c r="A32" s="14" t="n">
        <v>22</v>
      </c>
      <c r="B32" s="45" t="n">
        <f aca="false">IF(Revenus!F23&gt;=Couts!M23,1,0)</f>
        <v>0</v>
      </c>
      <c r="C32" s="45" t="n">
        <f aca="false">IF(Revenus!J23&gt;=Couts!M23,1,0)</f>
        <v>1</v>
      </c>
      <c r="D32" s="45" t="n">
        <f aca="false">IF(Revenus!N23&gt;=Couts!M23,1,0)</f>
        <v>1</v>
      </c>
    </row>
    <row r="33" customFormat="false" ht="15" hidden="false" customHeight="true" outlineLevel="0" collapsed="false">
      <c r="A33" s="14" t="n">
        <v>23</v>
      </c>
      <c r="B33" s="45" t="n">
        <f aca="false">IF(Revenus!F24&gt;=Couts!M24,1,0)</f>
        <v>0</v>
      </c>
      <c r="C33" s="45" t="n">
        <f aca="false">IF(Revenus!J24&gt;=Couts!M24,1,0)</f>
        <v>1</v>
      </c>
      <c r="D33" s="45" t="n">
        <f aca="false">IF(Revenus!N24&gt;=Couts!M24,1,0)</f>
        <v>1</v>
      </c>
    </row>
    <row r="34" customFormat="false" ht="15" hidden="false" customHeight="true" outlineLevel="0" collapsed="false">
      <c r="A34" s="14" t="n">
        <v>24</v>
      </c>
      <c r="B34" s="45" t="n">
        <f aca="false">IF(Revenus!F25&gt;=Couts!M25,1,0)</f>
        <v>0</v>
      </c>
      <c r="C34" s="45" t="n">
        <f aca="false">IF(Revenus!J25&gt;=Couts!M25,1,0)</f>
        <v>1</v>
      </c>
      <c r="D34" s="45" t="n">
        <f aca="false">IF(Revenus!N25&gt;=Couts!M25,1,0)</f>
        <v>1</v>
      </c>
    </row>
    <row r="35" customFormat="false" ht="15" hidden="false" customHeight="true" outlineLevel="0" collapsed="false">
      <c r="A35" s="14" t="n">
        <v>25</v>
      </c>
      <c r="B35" s="45" t="n">
        <f aca="false">IF(Revenus!F26&gt;=Couts!M26,1,0)</f>
        <v>0</v>
      </c>
      <c r="C35" s="45" t="n">
        <f aca="false">IF(Revenus!J26&gt;=Couts!M26,1,0)</f>
        <v>1</v>
      </c>
      <c r="D35" s="45" t="n">
        <f aca="false">IF(Revenus!N26&gt;=Couts!M26,1,0)</f>
        <v>1</v>
      </c>
    </row>
    <row r="36" customFormat="false" ht="15" hidden="false" customHeight="true" outlineLevel="0" collapsed="false">
      <c r="A36" s="14" t="n">
        <v>26</v>
      </c>
      <c r="B36" s="45" t="n">
        <f aca="false">IF(Revenus!F27&gt;=Couts!M27,1,0)</f>
        <v>0</v>
      </c>
      <c r="C36" s="45" t="n">
        <f aca="false">IF(Revenus!J27&gt;=Couts!M27,1,0)</f>
        <v>1</v>
      </c>
      <c r="D36" s="45" t="n">
        <f aca="false">IF(Revenus!N27&gt;=Couts!M27,1,0)</f>
        <v>1</v>
      </c>
    </row>
    <row r="37" customFormat="false" ht="15" hidden="false" customHeight="true" outlineLevel="0" collapsed="false">
      <c r="A37" s="14" t="n">
        <v>27</v>
      </c>
      <c r="B37" s="45" t="n">
        <f aca="false">IF(Revenus!F28&gt;=Couts!M28,1,0)</f>
        <v>0</v>
      </c>
      <c r="C37" s="45" t="n">
        <f aca="false">IF(Revenus!J28&gt;=Couts!M28,1,0)</f>
        <v>1</v>
      </c>
      <c r="D37" s="45" t="n">
        <f aca="false">IF(Revenus!N28&gt;=Couts!M28,1,0)</f>
        <v>1</v>
      </c>
    </row>
    <row r="38" customFormat="false" ht="15" hidden="false" customHeight="true" outlineLevel="0" collapsed="false">
      <c r="A38" s="14" t="n">
        <v>28</v>
      </c>
      <c r="B38" s="45" t="n">
        <f aca="false">IF(Revenus!F29&gt;=Couts!M29,1,0)</f>
        <v>0</v>
      </c>
      <c r="C38" s="45" t="n">
        <f aca="false">IF(Revenus!J29&gt;=Couts!M29,1,0)</f>
        <v>1</v>
      </c>
      <c r="D38" s="45" t="n">
        <f aca="false">IF(Revenus!N29&gt;=Couts!M29,1,0)</f>
        <v>1</v>
      </c>
    </row>
    <row r="39" customFormat="false" ht="15" hidden="false" customHeight="true" outlineLevel="0" collapsed="false">
      <c r="A39" s="14" t="n">
        <v>29</v>
      </c>
      <c r="B39" s="45" t="n">
        <f aca="false">IF(Revenus!F30&gt;=Couts!M30,1,0)</f>
        <v>0</v>
      </c>
      <c r="C39" s="45" t="n">
        <f aca="false">IF(Revenus!J30&gt;=Couts!M30,1,0)</f>
        <v>1</v>
      </c>
      <c r="D39" s="45" t="n">
        <f aca="false">IF(Revenus!N30&gt;=Couts!M30,1,0)</f>
        <v>1</v>
      </c>
    </row>
    <row r="40" customFormat="false" ht="15" hidden="false" customHeight="true" outlineLevel="0" collapsed="false">
      <c r="A40" s="14" t="n">
        <v>30</v>
      </c>
      <c r="B40" s="45" t="n">
        <f aca="false">IF(Revenus!F31&gt;=Couts!M31,1,0)</f>
        <v>0</v>
      </c>
      <c r="C40" s="45" t="n">
        <f aca="false">IF(Revenus!J31&gt;=Couts!M31,1,0)</f>
        <v>1</v>
      </c>
      <c r="D40" s="45" t="n">
        <f aca="false">IF(Revenus!N31&gt;=Couts!M31,1,0)</f>
        <v>1</v>
      </c>
    </row>
    <row r="41" customFormat="false" ht="15" hidden="false" customHeight="true" outlineLevel="0" collapsed="false">
      <c r="A41" s="14" t="n">
        <v>31</v>
      </c>
      <c r="B41" s="45" t="n">
        <f aca="false">IF(Revenus!F32&gt;=Couts!M32,1,0)</f>
        <v>0</v>
      </c>
      <c r="C41" s="45" t="n">
        <f aca="false">IF(Revenus!J32&gt;=Couts!M32,1,0)</f>
        <v>1</v>
      </c>
      <c r="D41" s="45" t="n">
        <f aca="false">IF(Revenus!N32&gt;=Couts!M32,1,0)</f>
        <v>1</v>
      </c>
    </row>
    <row r="42" customFormat="false" ht="15" hidden="false" customHeight="true" outlineLevel="0" collapsed="false">
      <c r="A42" s="14" t="n">
        <v>32</v>
      </c>
      <c r="B42" s="45" t="n">
        <f aca="false">IF(Revenus!F33&gt;=Couts!M33,1,0)</f>
        <v>0</v>
      </c>
      <c r="C42" s="45" t="n">
        <f aca="false">IF(Revenus!J33&gt;=Couts!M33,1,0)</f>
        <v>1</v>
      </c>
      <c r="D42" s="45" t="n">
        <f aca="false">IF(Revenus!N33&gt;=Couts!M33,1,0)</f>
        <v>1</v>
      </c>
    </row>
    <row r="43" customFormat="false" ht="15" hidden="false" customHeight="true" outlineLevel="0" collapsed="false">
      <c r="A43" s="14" t="n">
        <v>33</v>
      </c>
      <c r="B43" s="45" t="n">
        <f aca="false">IF(Revenus!F34&gt;=Couts!M34,1,0)</f>
        <v>0</v>
      </c>
      <c r="C43" s="45" t="n">
        <f aca="false">IF(Revenus!J34&gt;=Couts!M34,1,0)</f>
        <v>1</v>
      </c>
      <c r="D43" s="45" t="n">
        <f aca="false">IF(Revenus!N34&gt;=Couts!M34,1,0)</f>
        <v>1</v>
      </c>
    </row>
    <row r="44" customFormat="false" ht="15" hidden="false" customHeight="true" outlineLevel="0" collapsed="false">
      <c r="A44" s="14" t="n">
        <v>34</v>
      </c>
      <c r="B44" s="45" t="n">
        <f aca="false">IF(Revenus!F35&gt;=Couts!M35,1,0)</f>
        <v>0</v>
      </c>
      <c r="C44" s="45" t="n">
        <f aca="false">IF(Revenus!J35&gt;=Couts!M35,1,0)</f>
        <v>1</v>
      </c>
      <c r="D44" s="45" t="n">
        <f aca="false">IF(Revenus!N35&gt;=Couts!M35,1,0)</f>
        <v>1</v>
      </c>
    </row>
    <row r="45" customFormat="false" ht="15" hidden="false" customHeight="true" outlineLevel="0" collapsed="false">
      <c r="A45" s="14" t="n">
        <v>35</v>
      </c>
      <c r="B45" s="45" t="n">
        <f aca="false">IF(Revenus!F36&gt;=Couts!M36,1,0)</f>
        <v>0</v>
      </c>
      <c r="C45" s="45" t="n">
        <f aca="false">IF(Revenus!J36&gt;=Couts!M36,1,0)</f>
        <v>1</v>
      </c>
      <c r="D45" s="45" t="n">
        <f aca="false">IF(Revenus!N36&gt;=Couts!M36,1,0)</f>
        <v>1</v>
      </c>
    </row>
    <row r="46" customFormat="false" ht="15" hidden="false" customHeight="true" outlineLevel="0" collapsed="false">
      <c r="A46" s="14" t="n">
        <v>36</v>
      </c>
      <c r="B46" s="45" t="n">
        <f aca="false">IF(Revenus!F37&gt;=Couts!M37,1,0)</f>
        <v>0</v>
      </c>
      <c r="C46" s="45" t="n">
        <f aca="false">IF(Revenus!J37&gt;=Couts!M37,1,0)</f>
        <v>1</v>
      </c>
      <c r="D46" s="45" t="n">
        <f aca="false">IF(Revenus!N37&gt;=Couts!M37,1,0)</f>
        <v>1</v>
      </c>
    </row>
    <row r="49" customFormat="false" ht="15" hidden="false" customHeight="true" outlineLevel="0" collapsed="false">
      <c r="A49" s="46" t="s">
        <v>140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34"/>
    <col collapsed="false" customWidth="true" hidden="false" outlineLevel="0" max="3" min="3" style="1" width="13"/>
    <col collapsed="false" customWidth="true" hidden="false" outlineLevel="0" max="5" min="4" style="1" width="20"/>
    <col collapsed="false" customWidth="true" hidden="false" outlineLevel="0" max="6" min="6" style="1" width="12"/>
    <col collapsed="false" customWidth="true" hidden="false" outlineLevel="0" max="7" min="7" style="1" width="14"/>
    <col collapsed="false" customWidth="true" hidden="false" outlineLevel="0" max="8" min="8" style="1" width="40"/>
    <col collapsed="false" customWidth="true" hidden="false" outlineLevel="0" max="9" min="9" style="1" width="16"/>
  </cols>
  <sheetData>
    <row r="1" customFormat="false" ht="15" hidden="false" customHeight="true" outlineLevel="0" collapsed="false">
      <c r="A1" s="33" t="s">
        <v>141</v>
      </c>
      <c r="B1" s="33" t="s">
        <v>142</v>
      </c>
      <c r="C1" s="33" t="s">
        <v>143</v>
      </c>
      <c r="D1" s="33" t="s">
        <v>144</v>
      </c>
      <c r="E1" s="33" t="s">
        <v>145</v>
      </c>
      <c r="F1" s="33" t="s">
        <v>146</v>
      </c>
      <c r="G1" s="33" t="s">
        <v>147</v>
      </c>
      <c r="H1" s="33" t="s">
        <v>148</v>
      </c>
      <c r="I1" s="33" t="s">
        <v>149</v>
      </c>
    </row>
    <row r="2" customFormat="false" ht="60" hidden="false" customHeight="true" outlineLevel="0" collapsed="false">
      <c r="A2" s="47" t="s">
        <v>150</v>
      </c>
      <c r="B2" s="48" t="s">
        <v>151</v>
      </c>
      <c r="C2" s="48" t="s">
        <v>152</v>
      </c>
      <c r="D2" s="48" t="s">
        <v>153</v>
      </c>
      <c r="E2" s="48" t="s">
        <v>154</v>
      </c>
      <c r="F2" s="48" t="s">
        <v>155</v>
      </c>
      <c r="G2" s="48" t="s">
        <v>156</v>
      </c>
      <c r="H2" s="48" t="s">
        <v>157</v>
      </c>
      <c r="I2" s="48" t="s">
        <v>158</v>
      </c>
    </row>
    <row r="3" customFormat="false" ht="60" hidden="false" customHeight="true" outlineLevel="0" collapsed="false">
      <c r="A3" s="47" t="s">
        <v>159</v>
      </c>
      <c r="B3" s="48" t="s">
        <v>160</v>
      </c>
      <c r="C3" s="48" t="s">
        <v>152</v>
      </c>
      <c r="D3" s="48" t="s">
        <v>161</v>
      </c>
      <c r="E3" s="48" t="s">
        <v>162</v>
      </c>
      <c r="F3" s="48" t="s">
        <v>155</v>
      </c>
      <c r="G3" s="48" t="s">
        <v>163</v>
      </c>
      <c r="H3" s="48" t="s">
        <v>164</v>
      </c>
      <c r="I3" s="48" t="s">
        <v>165</v>
      </c>
    </row>
    <row r="4" customFormat="false" ht="60" hidden="false" customHeight="true" outlineLevel="0" collapsed="false">
      <c r="A4" s="47" t="s">
        <v>166</v>
      </c>
      <c r="B4" s="48" t="s">
        <v>167</v>
      </c>
      <c r="C4" s="48" t="s">
        <v>152</v>
      </c>
      <c r="D4" s="48" t="s">
        <v>168</v>
      </c>
      <c r="E4" s="48" t="s">
        <v>162</v>
      </c>
      <c r="F4" s="48" t="s">
        <v>169</v>
      </c>
      <c r="G4" s="48" t="s">
        <v>170</v>
      </c>
      <c r="H4" s="48" t="s">
        <v>171</v>
      </c>
      <c r="I4" s="48" t="s">
        <v>158</v>
      </c>
    </row>
    <row r="5" customFormat="false" ht="60" hidden="false" customHeight="true" outlineLevel="0" collapsed="false">
      <c r="A5" s="47" t="s">
        <v>172</v>
      </c>
      <c r="B5" s="48" t="s">
        <v>173</v>
      </c>
      <c r="C5" s="48" t="s">
        <v>152</v>
      </c>
      <c r="D5" s="48" t="s">
        <v>174</v>
      </c>
      <c r="E5" s="48" t="s">
        <v>175</v>
      </c>
      <c r="F5" s="48" t="s">
        <v>169</v>
      </c>
      <c r="G5" s="48" t="s">
        <v>176</v>
      </c>
      <c r="H5" s="48" t="s">
        <v>177</v>
      </c>
      <c r="I5" s="48" t="s">
        <v>178</v>
      </c>
    </row>
    <row r="6" customFormat="false" ht="60" hidden="false" customHeight="true" outlineLevel="0" collapsed="false">
      <c r="A6" s="47" t="s">
        <v>179</v>
      </c>
      <c r="B6" s="48" t="s">
        <v>180</v>
      </c>
      <c r="C6" s="48" t="s">
        <v>152</v>
      </c>
      <c r="D6" s="48" t="s">
        <v>181</v>
      </c>
      <c r="E6" s="48" t="s">
        <v>182</v>
      </c>
      <c r="F6" s="48" t="s">
        <v>155</v>
      </c>
      <c r="G6" s="48" t="s">
        <v>183</v>
      </c>
      <c r="H6" s="48" t="s">
        <v>184</v>
      </c>
      <c r="I6" s="48" t="s">
        <v>178</v>
      </c>
    </row>
    <row r="7" customFormat="false" ht="60" hidden="false" customHeight="true" outlineLevel="0" collapsed="false">
      <c r="A7" s="47" t="s">
        <v>185</v>
      </c>
      <c r="B7" s="48" t="s">
        <v>186</v>
      </c>
      <c r="C7" s="48" t="s">
        <v>152</v>
      </c>
      <c r="D7" s="48" t="s">
        <v>187</v>
      </c>
      <c r="E7" s="48" t="s">
        <v>188</v>
      </c>
      <c r="F7" s="48" t="s">
        <v>169</v>
      </c>
      <c r="G7" s="48" t="s">
        <v>189</v>
      </c>
      <c r="H7" s="48" t="s">
        <v>190</v>
      </c>
      <c r="I7" s="48" t="s">
        <v>191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38"/>
    <col collapsed="false" customWidth="true" hidden="false" outlineLevel="0" max="3" min="3" style="1" width="34"/>
    <col collapsed="false" customWidth="true" hidden="false" outlineLevel="0" max="4" min="4" style="1" width="42"/>
    <col collapsed="false" customWidth="true" hidden="false" outlineLevel="0" max="5" min="5" style="1" width="18"/>
  </cols>
  <sheetData>
    <row r="1" customFormat="false" ht="26.25" hidden="false" customHeight="true" outlineLevel="0" collapsed="false">
      <c r="A1" s="33" t="s">
        <v>11</v>
      </c>
      <c r="B1" s="33" t="s">
        <v>192</v>
      </c>
      <c r="C1" s="33" t="s">
        <v>193</v>
      </c>
      <c r="D1" s="33" t="s">
        <v>194</v>
      </c>
      <c r="E1" s="33" t="s">
        <v>195</v>
      </c>
    </row>
    <row r="2" customFormat="false" ht="61.5" hidden="false" customHeight="true" outlineLevel="0" collapsed="false">
      <c r="A2" s="47" t="s">
        <v>196</v>
      </c>
      <c r="B2" s="48" t="s">
        <v>197</v>
      </c>
      <c r="C2" s="48" t="s">
        <v>198</v>
      </c>
      <c r="D2" s="48" t="s">
        <v>199</v>
      </c>
      <c r="E2" s="48" t="s">
        <v>200</v>
      </c>
    </row>
    <row r="3" customFormat="false" ht="61.5" hidden="false" customHeight="true" outlineLevel="0" collapsed="false">
      <c r="A3" s="47" t="s">
        <v>201</v>
      </c>
      <c r="B3" s="48" t="s">
        <v>202</v>
      </c>
      <c r="C3" s="48" t="s">
        <v>203</v>
      </c>
      <c r="D3" s="48" t="s">
        <v>204</v>
      </c>
      <c r="E3" s="48" t="s">
        <v>205</v>
      </c>
    </row>
    <row r="4" customFormat="false" ht="61.5" hidden="false" customHeight="true" outlineLevel="0" collapsed="false">
      <c r="A4" s="47" t="s">
        <v>206</v>
      </c>
      <c r="B4" s="48" t="s">
        <v>207</v>
      </c>
      <c r="C4" s="48" t="s">
        <v>208</v>
      </c>
      <c r="D4" s="48" t="s">
        <v>209</v>
      </c>
      <c r="E4" s="48" t="s">
        <v>210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2026-09-15T08:25:49Z</dcterms:created>
  <dc:creator>openpyxl</dc:creator>
  <dc:description/>
  <dc:language>en-US</dc:language>
  <cp:lastModifiedBy/>
  <dcterms:modified xsi:type="dcterms:W3CDTF">2026-09-17T12:22:51Z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